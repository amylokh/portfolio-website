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CMHRD\Final Placements\Interview Prep\Guesstimates\"/>
    </mc:Choice>
  </mc:AlternateContent>
  <xr:revisionPtr revIDLastSave="0" documentId="13_ncr:1_{CA509466-6B69-4DD3-9C90-B1C2434F826C}" xr6:coauthVersionLast="47" xr6:coauthVersionMax="47" xr10:uidLastSave="{00000000-0000-0000-0000-000000000000}"/>
  <bookViews>
    <workbookView xWindow="-110" yWindow="-110" windowWidth="19420" windowHeight="10300" activeTab="2" xr2:uid="{0544EB0F-C623-4EEF-82CB-EFAC8916E595}"/>
  </bookViews>
  <sheets>
    <sheet name="# of iPhones sold" sheetId="1" r:id="rId1"/>
    <sheet name="Revenue from TVs sold" sheetId="2" r:id="rId2"/>
    <sheet name="PVR Revenue" sheetId="3" r:id="rId3"/>
    <sheet name="Monthly Soaps Spend in India" sheetId="4" r:id="rId4"/>
    <sheet name="Yearly Income of SCMHR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3" l="1"/>
  <c r="O27" i="3"/>
  <c r="B29" i="3"/>
  <c r="E14" i="3"/>
  <c r="P12" i="3"/>
  <c r="Q14" i="3" s="1"/>
  <c r="P17" i="3" s="1"/>
  <c r="M8" i="2"/>
  <c r="M9" i="2" s="1"/>
  <c r="L13" i="2" s="1"/>
  <c r="L15" i="2" s="1"/>
  <c r="L16" i="2" s="1"/>
  <c r="H8" i="2"/>
  <c r="H9" i="2" s="1"/>
  <c r="H12" i="1"/>
  <c r="I7" i="1"/>
  <c r="G10" i="1"/>
  <c r="G12" i="1" s="1"/>
  <c r="J7" i="1"/>
  <c r="I12" i="1"/>
  <c r="G7" i="1"/>
  <c r="E19" i="3" l="1"/>
  <c r="M13" i="2"/>
  <c r="M15" i="2" s="1"/>
  <c r="M16" i="2" s="1"/>
  <c r="I13" i="2"/>
  <c r="I15" i="2" s="1"/>
  <c r="I16" i="2" s="1"/>
  <c r="H13" i="2"/>
  <c r="H15" i="2" s="1"/>
  <c r="H16" i="2" s="1"/>
  <c r="G13" i="2"/>
  <c r="G15" i="2" s="1"/>
  <c r="G16" i="2" s="1"/>
  <c r="B16" i="2" s="1"/>
  <c r="B17" i="2" s="1"/>
  <c r="B10" i="1"/>
  <c r="C12" i="1" s="1"/>
</calcChain>
</file>

<file path=xl/sharedStrings.xml><?xml version="1.0" encoding="utf-8"?>
<sst xmlns="http://schemas.openxmlformats.org/spreadsheetml/2006/main" count="274" uniqueCount="193">
  <si>
    <t>Iphone avg price</t>
  </si>
  <si>
    <t>70k</t>
  </si>
  <si>
    <t>India Population</t>
  </si>
  <si>
    <t>Tier</t>
  </si>
  <si>
    <t>High</t>
  </si>
  <si>
    <t>Medium</t>
  </si>
  <si>
    <t>Low</t>
  </si>
  <si>
    <t>1-Metro</t>
  </si>
  <si>
    <t>2-Urban</t>
  </si>
  <si>
    <t>3-Districts</t>
  </si>
  <si>
    <t>4-Villages</t>
  </si>
  <si>
    <t>cr</t>
  </si>
  <si>
    <t>Population</t>
  </si>
  <si>
    <t>2 yrs</t>
  </si>
  <si>
    <t>3 yrs</t>
  </si>
  <si>
    <t xml:space="preserve">4 yrs </t>
  </si>
  <si>
    <t>yrs</t>
  </si>
  <si>
    <t>Life</t>
  </si>
  <si>
    <t>or 50 lac</t>
  </si>
  <si>
    <t># of iPhones sold in India last year</t>
  </si>
  <si>
    <t>Estimate the revenue of TVs sold in last 1 year</t>
  </si>
  <si>
    <t>Urban</t>
  </si>
  <si>
    <t>Rural</t>
  </si>
  <si>
    <t>TV Life Expectancy</t>
  </si>
  <si>
    <t>Avg # of people per household</t>
  </si>
  <si>
    <t># of households</t>
  </si>
  <si>
    <t>20-50k</t>
  </si>
  <si>
    <t>50-100k</t>
  </si>
  <si>
    <t>&gt;100k</t>
  </si>
  <si>
    <t># of TVs</t>
  </si>
  <si>
    <t>Price band of TV</t>
  </si>
  <si>
    <t>35k</t>
  </si>
  <si>
    <t>75k</t>
  </si>
  <si>
    <t>115k</t>
  </si>
  <si>
    <t>25k</t>
  </si>
  <si>
    <t># of TVs sold last year</t>
  </si>
  <si>
    <t>60k</t>
  </si>
  <si>
    <t>Revenue of TVs sold in the last year</t>
  </si>
  <si>
    <t>crs</t>
  </si>
  <si>
    <t>Bn Rupees</t>
  </si>
  <si>
    <t>Avg Selling Price</t>
  </si>
  <si>
    <t>Assumptions</t>
  </si>
  <si>
    <t>It is a single multiplex</t>
  </si>
  <si>
    <t>Busy area in metro city and not a shopping mall</t>
  </si>
  <si>
    <t>Big sized multiplex having 10 screens</t>
  </si>
  <si>
    <t>Revenue from all screens</t>
  </si>
  <si>
    <t>1 day Revenue - Sunday</t>
  </si>
  <si>
    <t>Goal</t>
  </si>
  <si>
    <t>Estimate the Revenue of PVR Cinemas on a Sunday from all the services in a metro city</t>
  </si>
  <si>
    <t>Revenue Sources</t>
  </si>
  <si>
    <t>Tickets</t>
  </si>
  <si>
    <t>Parking</t>
  </si>
  <si>
    <t>Food &amp; Beverages</t>
  </si>
  <si>
    <t>Ad Revenue</t>
  </si>
  <si>
    <t>Timing</t>
  </si>
  <si>
    <t>9am - 1am</t>
  </si>
  <si>
    <t>Avg Movie Duration</t>
  </si>
  <si>
    <t>3 hrs</t>
  </si>
  <si>
    <t>Total screens</t>
  </si>
  <si>
    <t>Total shows</t>
  </si>
  <si>
    <t>Movies per screen per day</t>
  </si>
  <si>
    <t>Total Seating Capacity per hall</t>
  </si>
  <si>
    <t>Occupancy rate on weekend</t>
  </si>
  <si>
    <t>Total tickets sold</t>
  </si>
  <si>
    <t>Avg Ticket Price</t>
  </si>
  <si>
    <t>Total Revenue from Tickets</t>
  </si>
  <si>
    <t>Ads at start</t>
  </si>
  <si>
    <t>Ads during interval</t>
  </si>
  <si>
    <t>Charge per ad</t>
  </si>
  <si>
    <t>Total Revenue from ads</t>
  </si>
  <si>
    <t>2 wheelers</t>
  </si>
  <si>
    <t>4 wheelers</t>
  </si>
  <si>
    <t>Total Revenue from Parking</t>
  </si>
  <si>
    <t>2 people group</t>
  </si>
  <si>
    <t>3 people group</t>
  </si>
  <si>
    <t xml:space="preserve">Avg Group size </t>
  </si>
  <si>
    <t>Groups</t>
  </si>
  <si>
    <t>People buying food</t>
  </si>
  <si>
    <t>Avg over value</t>
  </si>
  <si>
    <t>Total Revenue from Food</t>
  </si>
  <si>
    <t>or ~33 lacs</t>
  </si>
  <si>
    <t>mil</t>
  </si>
  <si>
    <t>Avg Price of soap</t>
  </si>
  <si>
    <t>Mehengi Soap</t>
  </si>
  <si>
    <t>Family size</t>
  </si>
  <si>
    <t>Soaps per family</t>
  </si>
  <si>
    <t>Monthyl spend on soaps in India</t>
  </si>
  <si>
    <t>Number of soaps bought * avg soap price</t>
  </si>
  <si>
    <t>Soap</t>
  </si>
  <si>
    <t>Body Soap</t>
  </si>
  <si>
    <t>Body wash</t>
  </si>
  <si>
    <t>People using soaps</t>
  </si>
  <si>
    <t>&lt;- # of families with 3 members</t>
  </si>
  <si>
    <t xml:space="preserve"># of families with 4 members -&gt; </t>
  </si>
  <si>
    <t>Soaps bought</t>
  </si>
  <si>
    <t>Total soaps bought</t>
  </si>
  <si>
    <t>Monthly spend on soaps in India</t>
  </si>
  <si>
    <t>Core</t>
  </si>
  <si>
    <t>BA</t>
  </si>
  <si>
    <t>IDM</t>
  </si>
  <si>
    <t># of 1st year</t>
  </si>
  <si>
    <t>Calculate the yearly income of SCMHRD from student fees</t>
  </si>
  <si>
    <t># of 2nd year</t>
  </si>
  <si>
    <t>Fees</t>
  </si>
  <si>
    <t># iphones sold last year</t>
  </si>
  <si>
    <t>Total Population</t>
  </si>
  <si>
    <t>Tier 1</t>
  </si>
  <si>
    <t>Tier 2</t>
  </si>
  <si>
    <t>Tier 3</t>
  </si>
  <si>
    <t>Avg lifespan of iPhone</t>
  </si>
  <si>
    <t>Income</t>
  </si>
  <si>
    <t>Iphone Penetration</t>
  </si>
  <si>
    <t>iphones</t>
  </si>
  <si>
    <t>cr iPhones sold every year</t>
  </si>
  <si>
    <t>130 cr</t>
  </si>
  <si>
    <t>40 cr</t>
  </si>
  <si>
    <t>90 cr</t>
  </si>
  <si>
    <t>High Income</t>
  </si>
  <si>
    <t>Medium Income</t>
  </si>
  <si>
    <t>10% - 4 cr</t>
  </si>
  <si>
    <t>20% - 8 cr</t>
  </si>
  <si>
    <t>10 cr</t>
  </si>
  <si>
    <t>Market Penetration</t>
  </si>
  <si>
    <t>30% &amp; 20%</t>
  </si>
  <si>
    <t>2.8 cr</t>
  </si>
  <si>
    <t>1 cr</t>
  </si>
  <si>
    <t>3.8 cr</t>
  </si>
  <si>
    <t>Number of people who own an iPhone</t>
  </si>
  <si>
    <t># of iPhones sold last year</t>
  </si>
  <si>
    <t>Avg life of iPhone</t>
  </si>
  <si>
    <t>4 yrs</t>
  </si>
  <si>
    <t>95 lacs</t>
  </si>
  <si>
    <t>Estimate the revenue from TVs sold in the last one year</t>
  </si>
  <si>
    <t>Indian Population</t>
  </si>
  <si>
    <t>18 cr</t>
  </si>
  <si>
    <t>Avg # of members</t>
  </si>
  <si>
    <t>20k - 50k</t>
  </si>
  <si>
    <t>50k-100k</t>
  </si>
  <si>
    <t>5 cr</t>
  </si>
  <si>
    <t>0.5 cr</t>
  </si>
  <si>
    <t>2 cr</t>
  </si>
  <si>
    <t>12.5 cr</t>
  </si>
  <si>
    <t>Avg price</t>
  </si>
  <si>
    <t>Price band</t>
  </si>
  <si>
    <t>100k</t>
  </si>
  <si>
    <t>Avg life of TV</t>
  </si>
  <si>
    <t>10 yrs</t>
  </si>
  <si>
    <t>0.2 cr</t>
  </si>
  <si>
    <t>0.05 cr</t>
  </si>
  <si>
    <t>1.25 cr</t>
  </si>
  <si>
    <t>0.1 cr</t>
  </si>
  <si>
    <t>Revenue</t>
  </si>
  <si>
    <t>175 bn</t>
  </si>
  <si>
    <t>150 bn</t>
  </si>
  <si>
    <t>50 bn</t>
  </si>
  <si>
    <t>430 bn</t>
  </si>
  <si>
    <t>75 bn</t>
  </si>
  <si>
    <t>Total revenue from TVs sold last year</t>
  </si>
  <si>
    <t>900 bn</t>
  </si>
  <si>
    <t>Total seating capacity</t>
  </si>
  <si>
    <t>Number of screens</t>
  </si>
  <si>
    <t>Show timings</t>
  </si>
  <si>
    <t>08-12 am</t>
  </si>
  <si>
    <t>16 hrs</t>
  </si>
  <si>
    <t>One movie duration</t>
  </si>
  <si>
    <t>2 h 30 m</t>
  </si>
  <si>
    <t>Avg duration per movie</t>
  </si>
  <si>
    <t>Total movie shows per screen in a day</t>
  </si>
  <si>
    <t>Avg ticket cost</t>
  </si>
  <si>
    <t>Morning</t>
  </si>
  <si>
    <t>Afternoon</t>
  </si>
  <si>
    <t>Evening</t>
  </si>
  <si>
    <t>Night</t>
  </si>
  <si>
    <t>Per screen revenue</t>
  </si>
  <si>
    <t>48k</t>
  </si>
  <si>
    <t>54k</t>
  </si>
  <si>
    <t>10 screen revenue</t>
  </si>
  <si>
    <t>480k</t>
  </si>
  <si>
    <t>540k</t>
  </si>
  <si>
    <t>2040k</t>
  </si>
  <si>
    <t>Total revenue from movies from 10 screens</t>
  </si>
  <si>
    <t>Popcorn and cold drinks revenue</t>
  </si>
  <si>
    <t>% of people buying popcorn</t>
  </si>
  <si>
    <t># Groups</t>
  </si>
  <si>
    <t>Avg price of popcorn and coldrink</t>
  </si>
  <si>
    <t>13.5k</t>
  </si>
  <si>
    <t>15k</t>
  </si>
  <si>
    <t xml:space="preserve">Total revenue from cold drink and popcorn for the entire day </t>
  </si>
  <si>
    <t>550k</t>
  </si>
  <si>
    <t>Occupancy rate</t>
  </si>
  <si>
    <t>Revenue from ads</t>
  </si>
  <si>
    <t>Ads at the start</t>
  </si>
  <si>
    <t>Avg ad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</si>
</sst>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_ [$₹-4009]\ * #,##0.00_ ;_ [$₹-4009]\ * \-#,##0.00_ ;_ [$₹-4009]\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9" fontId="0" fillId="0" borderId="0" xfId="0" applyNumberFormat="1"/>
    <xf numFmtId="0" fontId="0" fillId="2" borderId="0" xfId="0" applyFill="1"/>
    <xf numFmtId="10" fontId="0" fillId="0" borderId="0" xfId="1" applyNumberFormat="1" applyFont="1"/>
    <xf numFmtId="0" fontId="0" fillId="3" borderId="0" xfId="0" applyFill="1"/>
    <xf numFmtId="164" fontId="0" fillId="3" borderId="0" xfId="0" applyNumberFormat="1" applyFill="1"/>
    <xf numFmtId="0" fontId="3" fillId="4" borderId="0" xfId="0" applyFont="1" applyFill="1"/>
    <xf numFmtId="0" fontId="2" fillId="4" borderId="0" xfId="0" applyFont="1" applyFill="1"/>
    <xf numFmtId="0" fontId="4" fillId="2" borderId="0" xfId="0" applyFont="1" applyFill="1"/>
    <xf numFmtId="0" fontId="2" fillId="5" borderId="0" xfId="0" applyFont="1" applyFill="1"/>
    <xf numFmtId="0" fontId="4" fillId="6" borderId="0" xfId="0" applyFont="1" applyFill="1"/>
    <xf numFmtId="0" fontId="0" fillId="6" borderId="0" xfId="0" applyFill="1"/>
    <xf numFmtId="0" fontId="2" fillId="7" borderId="0" xfId="0" applyFont="1" applyFill="1"/>
    <xf numFmtId="0" fontId="0" fillId="8" borderId="0" xfId="0" applyFill="1"/>
    <xf numFmtId="165" fontId="0" fillId="0" borderId="0" xfId="0" applyNumberFormat="1"/>
    <xf numFmtId="0" fontId="4" fillId="8" borderId="0" xfId="0" applyFont="1" applyFill="1"/>
    <xf numFmtId="16" fontId="0" fillId="0" borderId="0" xfId="0" applyNumberFormat="1"/>
    <xf numFmtId="0" fontId="2" fillId="9" borderId="0" xfId="0" applyFont="1" applyFill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A92C72AC-15E4-4E3D-A22A-B38B1E53D19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B8F0D-8FD8-4A19-A1B6-73F8E9F11ED0}">
  <dimension ref="A1:AC37"/>
  <sheetViews>
    <sheetView topLeftCell="S1" zoomScale="113" workbookViewId="0">
      <selection activeCell="Y5" sqref="Y5"/>
    </sheetView>
  </sheetViews>
  <sheetFormatPr defaultRowHeight="14.5" x14ac:dyDescent="0.35"/>
  <cols>
    <col min="2" max="2" width="17.1796875" customWidth="1"/>
  </cols>
  <sheetData>
    <row r="1" spans="1:29" x14ac:dyDescent="0.35">
      <c r="A1" t="s">
        <v>0</v>
      </c>
      <c r="C1" t="s">
        <v>1</v>
      </c>
      <c r="F1" t="s">
        <v>3</v>
      </c>
      <c r="G1" t="s">
        <v>7</v>
      </c>
      <c r="H1" t="s">
        <v>8</v>
      </c>
      <c r="I1" t="s">
        <v>9</v>
      </c>
      <c r="J1" t="s">
        <v>10</v>
      </c>
      <c r="AA1" s="13" t="s">
        <v>21</v>
      </c>
      <c r="AB1" s="13" t="s">
        <v>22</v>
      </c>
    </row>
    <row r="2" spans="1:29" x14ac:dyDescent="0.35">
      <c r="G2" s="1">
        <v>0.2</v>
      </c>
      <c r="H2" s="1">
        <v>0.15</v>
      </c>
      <c r="I2" s="1">
        <v>0.25</v>
      </c>
      <c r="J2" s="1">
        <v>0.4</v>
      </c>
      <c r="W2" s="8" t="s">
        <v>2</v>
      </c>
      <c r="X2" s="8"/>
      <c r="AA2" s="1">
        <v>0.3</v>
      </c>
      <c r="AB2" s="1">
        <v>0.7</v>
      </c>
    </row>
    <row r="3" spans="1:29" x14ac:dyDescent="0.35">
      <c r="A3" t="s">
        <v>2</v>
      </c>
      <c r="C3">
        <v>130</v>
      </c>
      <c r="D3" t="s">
        <v>11</v>
      </c>
      <c r="G3">
        <v>26</v>
      </c>
      <c r="H3">
        <v>20</v>
      </c>
      <c r="I3">
        <v>32</v>
      </c>
      <c r="J3">
        <v>52</v>
      </c>
      <c r="W3" t="s">
        <v>114</v>
      </c>
      <c r="AA3" t="s">
        <v>115</v>
      </c>
      <c r="AB3" t="s">
        <v>116</v>
      </c>
    </row>
    <row r="4" spans="1:29" x14ac:dyDescent="0.35">
      <c r="F4" t="s">
        <v>4</v>
      </c>
      <c r="G4" s="1">
        <v>0.1</v>
      </c>
      <c r="H4" s="1">
        <v>0.2</v>
      </c>
      <c r="I4" s="1">
        <v>0.1</v>
      </c>
      <c r="J4" s="1">
        <v>0.1</v>
      </c>
      <c r="Y4" t="s">
        <v>117</v>
      </c>
      <c r="AA4" s="1" t="s">
        <v>119</v>
      </c>
      <c r="AB4" s="1">
        <v>0.05</v>
      </c>
      <c r="AC4" t="s">
        <v>121</v>
      </c>
    </row>
    <row r="5" spans="1:29" x14ac:dyDescent="0.35">
      <c r="A5" s="7" t="s">
        <v>19</v>
      </c>
      <c r="B5" s="6"/>
      <c r="C5" s="6"/>
      <c r="F5" t="s">
        <v>12</v>
      </c>
      <c r="G5">
        <v>2.6</v>
      </c>
      <c r="H5">
        <v>4</v>
      </c>
      <c r="I5">
        <v>3.2</v>
      </c>
      <c r="J5">
        <v>5.2</v>
      </c>
      <c r="Y5" t="s">
        <v>118</v>
      </c>
      <c r="AA5" s="1" t="s">
        <v>120</v>
      </c>
      <c r="AB5" s="1">
        <v>0.05</v>
      </c>
    </row>
    <row r="6" spans="1:29" x14ac:dyDescent="0.35">
      <c r="G6" s="1">
        <v>0.2</v>
      </c>
      <c r="H6" s="1">
        <v>0.2</v>
      </c>
      <c r="I6" s="1">
        <v>0.05</v>
      </c>
      <c r="J6" s="1">
        <v>0</v>
      </c>
      <c r="Y6" t="s">
        <v>122</v>
      </c>
      <c r="AA6" s="1" t="s">
        <v>123</v>
      </c>
      <c r="AB6" s="1">
        <v>0.1</v>
      </c>
    </row>
    <row r="7" spans="1:29" x14ac:dyDescent="0.35">
      <c r="G7" s="2">
        <f>G5*G6</f>
        <v>0.52</v>
      </c>
      <c r="H7" s="2">
        <v>0.8</v>
      </c>
      <c r="I7" s="2">
        <f>I5*I6</f>
        <v>0.16000000000000003</v>
      </c>
      <c r="J7" s="2">
        <f>J5*J6</f>
        <v>0</v>
      </c>
      <c r="AA7" s="1" t="s">
        <v>124</v>
      </c>
      <c r="AB7" t="s">
        <v>125</v>
      </c>
    </row>
    <row r="8" spans="1:29" x14ac:dyDescent="0.35">
      <c r="L8" t="s">
        <v>6</v>
      </c>
      <c r="M8" s="1">
        <v>0.5</v>
      </c>
      <c r="N8" s="1">
        <v>0.5</v>
      </c>
      <c r="O8" s="1">
        <v>0.6</v>
      </c>
      <c r="P8" s="1">
        <v>0.8</v>
      </c>
      <c r="V8" s="8" t="s">
        <v>129</v>
      </c>
      <c r="W8" s="8"/>
    </row>
    <row r="9" spans="1:29" x14ac:dyDescent="0.35">
      <c r="F9" t="s">
        <v>5</v>
      </c>
      <c r="G9" s="1">
        <v>0.2</v>
      </c>
      <c r="H9" s="1">
        <v>0.3</v>
      </c>
      <c r="I9" s="1">
        <v>0.4</v>
      </c>
      <c r="J9" s="1">
        <v>0.1</v>
      </c>
      <c r="V9" t="s">
        <v>130</v>
      </c>
      <c r="Y9" t="s">
        <v>127</v>
      </c>
      <c r="AA9" s="1" t="s">
        <v>126</v>
      </c>
    </row>
    <row r="10" spans="1:29" x14ac:dyDescent="0.35">
      <c r="B10" s="5">
        <f>SUM(G7:J7,G12:I12)</f>
        <v>2.04</v>
      </c>
      <c r="C10" s="4" t="s">
        <v>11</v>
      </c>
      <c r="F10" t="s">
        <v>12</v>
      </c>
      <c r="G10">
        <f>G3*G9</f>
        <v>5.2</v>
      </c>
      <c r="H10">
        <v>6</v>
      </c>
      <c r="I10">
        <v>12.8</v>
      </c>
      <c r="J10">
        <v>5.2</v>
      </c>
      <c r="Y10" s="8" t="s">
        <v>128</v>
      </c>
      <c r="Z10" s="8"/>
      <c r="AA10" s="8"/>
      <c r="AB10" t="s">
        <v>131</v>
      </c>
    </row>
    <row r="11" spans="1:29" x14ac:dyDescent="0.35">
      <c r="G11" s="1">
        <v>0.05</v>
      </c>
      <c r="H11" s="1">
        <v>0.05</v>
      </c>
      <c r="I11" s="1">
        <v>0</v>
      </c>
      <c r="J11" s="1">
        <v>0</v>
      </c>
    </row>
    <row r="12" spans="1:29" x14ac:dyDescent="0.35">
      <c r="B12" s="3" t="s">
        <v>104</v>
      </c>
      <c r="C12" s="4">
        <f>B10/E14</f>
        <v>0.51</v>
      </c>
      <c r="D12" s="4" t="s">
        <v>18</v>
      </c>
      <c r="G12" s="2">
        <f>G10*G11</f>
        <v>0.26</v>
      </c>
      <c r="H12" s="2">
        <f>H11*H10</f>
        <v>0.30000000000000004</v>
      </c>
      <c r="I12" s="2">
        <f>I10*I11</f>
        <v>0</v>
      </c>
    </row>
    <row r="13" spans="1:29" x14ac:dyDescent="0.35">
      <c r="B13" t="s">
        <v>13</v>
      </c>
      <c r="E13" t="s">
        <v>17</v>
      </c>
    </row>
    <row r="14" spans="1:29" x14ac:dyDescent="0.35">
      <c r="B14" t="s">
        <v>14</v>
      </c>
      <c r="E14">
        <v>4</v>
      </c>
      <c r="F14" t="s">
        <v>16</v>
      </c>
    </row>
    <row r="15" spans="1:29" x14ac:dyDescent="0.35">
      <c r="B15" t="s">
        <v>15</v>
      </c>
    </row>
    <row r="19" spans="2:15" x14ac:dyDescent="0.35">
      <c r="M19" t="s">
        <v>110</v>
      </c>
    </row>
    <row r="20" spans="2:15" x14ac:dyDescent="0.35">
      <c r="I20" t="s">
        <v>106</v>
      </c>
      <c r="J20" s="1">
        <v>0.2</v>
      </c>
      <c r="K20">
        <v>26</v>
      </c>
      <c r="L20" t="s">
        <v>11</v>
      </c>
      <c r="M20" t="s">
        <v>4</v>
      </c>
      <c r="N20" t="s">
        <v>5</v>
      </c>
      <c r="O20" t="s">
        <v>6</v>
      </c>
    </row>
    <row r="21" spans="2:15" x14ac:dyDescent="0.35">
      <c r="B21" t="s">
        <v>105</v>
      </c>
      <c r="M21" s="1">
        <v>0.3</v>
      </c>
      <c r="N21" s="1">
        <v>0.2</v>
      </c>
      <c r="O21" s="1">
        <v>0.5</v>
      </c>
    </row>
    <row r="22" spans="2:15" x14ac:dyDescent="0.35">
      <c r="B22">
        <v>130</v>
      </c>
      <c r="C22" t="s">
        <v>11</v>
      </c>
      <c r="F22" t="s">
        <v>111</v>
      </c>
      <c r="M22">
        <v>8</v>
      </c>
      <c r="N22">
        <v>5</v>
      </c>
      <c r="O22">
        <v>0</v>
      </c>
    </row>
    <row r="23" spans="2:15" x14ac:dyDescent="0.35">
      <c r="M23" s="1">
        <v>0.5</v>
      </c>
      <c r="N23" s="1">
        <v>0.3</v>
      </c>
    </row>
    <row r="24" spans="2:15" x14ac:dyDescent="0.35">
      <c r="M24">
        <v>4</v>
      </c>
      <c r="N24">
        <v>1.5</v>
      </c>
    </row>
    <row r="25" spans="2:15" x14ac:dyDescent="0.35">
      <c r="B25" t="s">
        <v>109</v>
      </c>
    </row>
    <row r="26" spans="2:15" x14ac:dyDescent="0.35">
      <c r="B26">
        <v>3</v>
      </c>
      <c r="C26" t="s">
        <v>16</v>
      </c>
      <c r="I26" t="s">
        <v>107</v>
      </c>
      <c r="J26" s="1">
        <v>0.3</v>
      </c>
      <c r="K26">
        <v>39</v>
      </c>
      <c r="L26" t="s">
        <v>11</v>
      </c>
      <c r="M26" s="1">
        <v>0.2</v>
      </c>
      <c r="N26" s="1">
        <v>0.2</v>
      </c>
      <c r="O26" s="1">
        <v>0.6</v>
      </c>
    </row>
    <row r="27" spans="2:15" x14ac:dyDescent="0.35">
      <c r="M27">
        <v>8</v>
      </c>
      <c r="N27">
        <v>8</v>
      </c>
      <c r="O27">
        <v>0</v>
      </c>
    </row>
    <row r="28" spans="2:15" x14ac:dyDescent="0.35">
      <c r="M28" s="1">
        <v>0.4</v>
      </c>
      <c r="N28" s="1">
        <v>0.2</v>
      </c>
    </row>
    <row r="29" spans="2:15" x14ac:dyDescent="0.35">
      <c r="M29">
        <v>3</v>
      </c>
      <c r="N29">
        <v>1.5</v>
      </c>
    </row>
    <row r="31" spans="2:15" x14ac:dyDescent="0.35">
      <c r="I31" t="s">
        <v>108</v>
      </c>
      <c r="J31" s="1">
        <v>0.5</v>
      </c>
      <c r="K31">
        <v>65</v>
      </c>
      <c r="L31" t="s">
        <v>11</v>
      </c>
      <c r="M31" s="1">
        <v>0.1</v>
      </c>
      <c r="N31" s="1">
        <v>0.1</v>
      </c>
      <c r="O31" s="1">
        <v>0.8</v>
      </c>
    </row>
    <row r="32" spans="2:15" x14ac:dyDescent="0.35">
      <c r="M32">
        <v>6</v>
      </c>
      <c r="N32">
        <v>6</v>
      </c>
      <c r="O32">
        <v>0</v>
      </c>
    </row>
    <row r="33" spans="8:15" x14ac:dyDescent="0.35">
      <c r="M33" s="1">
        <v>0.2</v>
      </c>
      <c r="N33" s="1">
        <v>0.1</v>
      </c>
    </row>
    <row r="34" spans="8:15" x14ac:dyDescent="0.35">
      <c r="M34">
        <v>1</v>
      </c>
      <c r="N34">
        <v>0.5</v>
      </c>
    </row>
    <row r="36" spans="8:15" x14ac:dyDescent="0.35">
      <c r="H36">
        <v>4</v>
      </c>
      <c r="I36" t="s">
        <v>113</v>
      </c>
    </row>
    <row r="37" spans="8:15" x14ac:dyDescent="0.35">
      <c r="M37">
        <v>12</v>
      </c>
      <c r="N37" t="s">
        <v>11</v>
      </c>
      <c r="O37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A4FB7-164F-4FF8-8FEF-E1BB6264F932}">
  <dimension ref="A2:AD17"/>
  <sheetViews>
    <sheetView topLeftCell="L1" zoomScale="125" workbookViewId="0">
      <selection activeCell="U4" sqref="U4"/>
    </sheetView>
  </sheetViews>
  <sheetFormatPr defaultRowHeight="14.5" x14ac:dyDescent="0.35"/>
  <cols>
    <col min="23" max="23" width="12.08984375" customWidth="1"/>
    <col min="24" max="24" width="10" bestFit="1" customWidth="1"/>
  </cols>
  <sheetData>
    <row r="2" spans="1:30" x14ac:dyDescent="0.35">
      <c r="T2" s="15" t="s">
        <v>132</v>
      </c>
      <c r="U2" s="15"/>
      <c r="V2" s="15"/>
      <c r="W2" s="15"/>
      <c r="X2" s="15"/>
    </row>
    <row r="3" spans="1:30" x14ac:dyDescent="0.35">
      <c r="B3" s="7" t="s">
        <v>20</v>
      </c>
      <c r="C3" s="7"/>
      <c r="D3" s="7"/>
      <c r="E3" s="7"/>
      <c r="F3" s="7"/>
      <c r="G3" s="7"/>
    </row>
    <row r="4" spans="1:30" x14ac:dyDescent="0.35">
      <c r="U4" t="s">
        <v>133</v>
      </c>
      <c r="Y4" t="s">
        <v>21</v>
      </c>
      <c r="Z4" s="1">
        <v>0.3</v>
      </c>
      <c r="AB4" t="s">
        <v>22</v>
      </c>
      <c r="AC4" s="1">
        <v>0.7</v>
      </c>
    </row>
    <row r="5" spans="1:30" x14ac:dyDescent="0.35">
      <c r="I5" t="s">
        <v>12</v>
      </c>
      <c r="J5">
        <v>130</v>
      </c>
      <c r="K5" t="s">
        <v>11</v>
      </c>
      <c r="U5" t="s">
        <v>114</v>
      </c>
      <c r="Y5" t="s">
        <v>115</v>
      </c>
      <c r="AB5" t="s">
        <v>116</v>
      </c>
    </row>
    <row r="6" spans="1:30" x14ac:dyDescent="0.35">
      <c r="B6" s="4" t="s">
        <v>23</v>
      </c>
      <c r="C6" s="4"/>
      <c r="W6" t="s">
        <v>25</v>
      </c>
      <c r="Y6" t="s">
        <v>121</v>
      </c>
      <c r="AB6" t="s">
        <v>134</v>
      </c>
    </row>
    <row r="7" spans="1:30" x14ac:dyDescent="0.35">
      <c r="B7">
        <v>10</v>
      </c>
      <c r="C7" t="s">
        <v>16</v>
      </c>
      <c r="H7" t="s">
        <v>21</v>
      </c>
      <c r="M7" t="s">
        <v>22</v>
      </c>
      <c r="S7" t="s">
        <v>135</v>
      </c>
      <c r="W7" t="s">
        <v>143</v>
      </c>
      <c r="X7" t="s">
        <v>142</v>
      </c>
    </row>
    <row r="8" spans="1:30" x14ac:dyDescent="0.35">
      <c r="G8" s="1">
        <v>0.3</v>
      </c>
      <c r="H8">
        <f>J5*0.3</f>
        <v>39</v>
      </c>
      <c r="I8" t="s">
        <v>11</v>
      </c>
      <c r="L8" s="1">
        <v>0.7</v>
      </c>
      <c r="M8">
        <f>J5*0.7</f>
        <v>91</v>
      </c>
      <c r="N8" t="s">
        <v>11</v>
      </c>
      <c r="S8" t="s">
        <v>21</v>
      </c>
      <c r="T8">
        <v>4</v>
      </c>
      <c r="W8" t="s">
        <v>136</v>
      </c>
      <c r="X8" t="s">
        <v>31</v>
      </c>
      <c r="Y8" s="1">
        <v>0.5</v>
      </c>
      <c r="Z8" t="s">
        <v>138</v>
      </c>
      <c r="AB8" s="1">
        <v>0.7</v>
      </c>
      <c r="AC8" t="s">
        <v>141</v>
      </c>
    </row>
    <row r="9" spans="1:30" x14ac:dyDescent="0.35">
      <c r="A9" t="s">
        <v>21</v>
      </c>
      <c r="B9" t="s">
        <v>24</v>
      </c>
      <c r="G9" t="s">
        <v>25</v>
      </c>
      <c r="H9">
        <f>H8/B10</f>
        <v>9.75</v>
      </c>
      <c r="I9" t="s">
        <v>11</v>
      </c>
      <c r="L9" t="s">
        <v>25</v>
      </c>
      <c r="M9">
        <f>M8/B12</f>
        <v>18.2</v>
      </c>
      <c r="N9" t="s">
        <v>11</v>
      </c>
      <c r="S9" t="s">
        <v>22</v>
      </c>
      <c r="T9">
        <v>5</v>
      </c>
      <c r="W9" t="s">
        <v>137</v>
      </c>
      <c r="X9" t="s">
        <v>32</v>
      </c>
      <c r="Y9" s="1">
        <v>0.2</v>
      </c>
      <c r="Z9" t="s">
        <v>140</v>
      </c>
      <c r="AB9" s="1">
        <v>0.05</v>
      </c>
      <c r="AC9" t="s">
        <v>125</v>
      </c>
    </row>
    <row r="10" spans="1:30" x14ac:dyDescent="0.35">
      <c r="B10">
        <v>4</v>
      </c>
      <c r="W10" t="s">
        <v>28</v>
      </c>
      <c r="X10" t="s">
        <v>144</v>
      </c>
      <c r="Y10" s="1">
        <v>0.05</v>
      </c>
      <c r="Z10" t="s">
        <v>139</v>
      </c>
      <c r="AB10">
        <v>0</v>
      </c>
    </row>
    <row r="11" spans="1:30" x14ac:dyDescent="0.35">
      <c r="A11" t="s">
        <v>22</v>
      </c>
      <c r="B11" t="s">
        <v>24</v>
      </c>
      <c r="F11" t="s">
        <v>30</v>
      </c>
      <c r="G11" t="s">
        <v>26</v>
      </c>
      <c r="H11" t="s">
        <v>27</v>
      </c>
      <c r="I11" t="s">
        <v>28</v>
      </c>
      <c r="L11" t="s">
        <v>26</v>
      </c>
      <c r="M11" t="s">
        <v>27</v>
      </c>
      <c r="N11" t="s">
        <v>28</v>
      </c>
      <c r="Z11" t="s">
        <v>35</v>
      </c>
      <c r="AA11" t="s">
        <v>151</v>
      </c>
      <c r="AC11" t="s">
        <v>35</v>
      </c>
    </row>
    <row r="12" spans="1:30" x14ac:dyDescent="0.35">
      <c r="B12">
        <v>5</v>
      </c>
      <c r="G12" s="1">
        <v>0.4</v>
      </c>
      <c r="H12" s="1">
        <v>0.3</v>
      </c>
      <c r="I12" s="1">
        <v>0.1</v>
      </c>
      <c r="L12" s="1">
        <v>0.6</v>
      </c>
      <c r="M12" s="1">
        <v>0.15</v>
      </c>
      <c r="N12">
        <v>0</v>
      </c>
      <c r="S12" t="s">
        <v>145</v>
      </c>
      <c r="Z12" t="s">
        <v>139</v>
      </c>
      <c r="AA12" t="s">
        <v>152</v>
      </c>
      <c r="AC12" t="s">
        <v>149</v>
      </c>
      <c r="AD12" t="s">
        <v>155</v>
      </c>
    </row>
    <row r="13" spans="1:30" x14ac:dyDescent="0.35">
      <c r="F13" t="s">
        <v>29</v>
      </c>
      <c r="G13">
        <f>G12*H9</f>
        <v>3.9000000000000004</v>
      </c>
      <c r="H13">
        <f>H12*H9</f>
        <v>2.9249999999999998</v>
      </c>
      <c r="I13">
        <f>I12*H9</f>
        <v>0.97500000000000009</v>
      </c>
      <c r="J13" t="s">
        <v>11</v>
      </c>
      <c r="L13">
        <f>L12*M9</f>
        <v>10.92</v>
      </c>
      <c r="M13">
        <f>M12*M9</f>
        <v>2.73</v>
      </c>
      <c r="O13" t="s">
        <v>11</v>
      </c>
      <c r="S13" t="s">
        <v>146</v>
      </c>
      <c r="Z13" t="s">
        <v>147</v>
      </c>
      <c r="AA13" t="s">
        <v>153</v>
      </c>
      <c r="AC13" t="s">
        <v>150</v>
      </c>
      <c r="AD13" t="s">
        <v>156</v>
      </c>
    </row>
    <row r="14" spans="1:30" x14ac:dyDescent="0.35">
      <c r="F14" t="s">
        <v>40</v>
      </c>
      <c r="G14" t="s">
        <v>31</v>
      </c>
      <c r="H14" t="s">
        <v>32</v>
      </c>
      <c r="I14" t="s">
        <v>33</v>
      </c>
      <c r="L14" t="s">
        <v>34</v>
      </c>
      <c r="M14" t="s">
        <v>36</v>
      </c>
      <c r="Z14" t="s">
        <v>148</v>
      </c>
      <c r="AA14" t="s">
        <v>154</v>
      </c>
    </row>
    <row r="15" spans="1:30" x14ac:dyDescent="0.35">
      <c r="B15" t="s">
        <v>37</v>
      </c>
      <c r="F15" t="s">
        <v>35</v>
      </c>
      <c r="G15">
        <f>G13/10</f>
        <v>0.39</v>
      </c>
      <c r="H15">
        <f>H13/10</f>
        <v>0.29249999999999998</v>
      </c>
      <c r="I15">
        <f>I13/10</f>
        <v>9.7500000000000003E-2</v>
      </c>
      <c r="L15">
        <f>L13/10</f>
        <v>1.0920000000000001</v>
      </c>
      <c r="M15">
        <f>M13/10</f>
        <v>0.27300000000000002</v>
      </c>
    </row>
    <row r="16" spans="1:30" x14ac:dyDescent="0.35">
      <c r="B16">
        <f>SUM(G16:I16,L16:M16)</f>
        <v>90480</v>
      </c>
      <c r="C16" t="s">
        <v>38</v>
      </c>
      <c r="G16">
        <f>G15*35000</f>
        <v>13650</v>
      </c>
      <c r="H16">
        <f>H15*75000</f>
        <v>21937.5</v>
      </c>
      <c r="I16">
        <f>I15*115000</f>
        <v>11212.5</v>
      </c>
      <c r="L16">
        <f>L15*25000</f>
        <v>27300.000000000004</v>
      </c>
      <c r="M16">
        <f>M15*60000</f>
        <v>16380.000000000002</v>
      </c>
      <c r="W16" s="14"/>
      <c r="AA16" s="15" t="s">
        <v>157</v>
      </c>
      <c r="AB16" s="15"/>
      <c r="AC16" s="15"/>
      <c r="AD16" s="15"/>
    </row>
    <row r="17" spans="2:27" x14ac:dyDescent="0.35">
      <c r="B17">
        <f>B16/100</f>
        <v>904.8</v>
      </c>
      <c r="C17" t="s">
        <v>39</v>
      </c>
      <c r="AA17" s="8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1472-C6B7-447A-86E5-90FB3FD12BE5}">
  <dimension ref="B2:AX29"/>
  <sheetViews>
    <sheetView tabSelected="1" topLeftCell="AA1" zoomScale="109" workbookViewId="0">
      <selection activeCell="AE22" sqref="AE22"/>
    </sheetView>
  </sheetViews>
  <sheetFormatPr defaultRowHeight="14.5" x14ac:dyDescent="0.35"/>
  <cols>
    <col min="13" max="13" width="10.26953125" customWidth="1"/>
  </cols>
  <sheetData>
    <row r="2" spans="2:50" x14ac:dyDescent="0.35">
      <c r="C2" s="8" t="s">
        <v>41</v>
      </c>
      <c r="AB2" s="8" t="s">
        <v>47</v>
      </c>
    </row>
    <row r="3" spans="2:50" x14ac:dyDescent="0.35">
      <c r="C3" t="s">
        <v>42</v>
      </c>
      <c r="I3" s="8" t="s">
        <v>47</v>
      </c>
      <c r="AB3" t="s">
        <v>48</v>
      </c>
    </row>
    <row r="4" spans="2:50" x14ac:dyDescent="0.35">
      <c r="C4" t="s">
        <v>43</v>
      </c>
      <c r="I4" t="s">
        <v>48</v>
      </c>
    </row>
    <row r="5" spans="2:50" x14ac:dyDescent="0.35">
      <c r="C5" t="s">
        <v>44</v>
      </c>
      <c r="L5" s="12">
        <f>E14+P17+O27+B29</f>
        <v>3375000</v>
      </c>
      <c r="M5" s="12" t="s">
        <v>80</v>
      </c>
      <c r="AB5" t="s">
        <v>159</v>
      </c>
      <c r="AF5" t="s">
        <v>160</v>
      </c>
    </row>
    <row r="6" spans="2:50" x14ac:dyDescent="0.35">
      <c r="C6" t="s">
        <v>45</v>
      </c>
      <c r="AB6">
        <v>200</v>
      </c>
      <c r="AF6">
        <v>10</v>
      </c>
    </row>
    <row r="7" spans="2:50" x14ac:dyDescent="0.35">
      <c r="C7" t="s">
        <v>46</v>
      </c>
    </row>
    <row r="8" spans="2:50" x14ac:dyDescent="0.35">
      <c r="K8" s="10" t="s">
        <v>50</v>
      </c>
      <c r="AB8" t="s">
        <v>161</v>
      </c>
      <c r="AE8" t="s">
        <v>167</v>
      </c>
      <c r="AP8" t="s">
        <v>181</v>
      </c>
    </row>
    <row r="9" spans="2:50" x14ac:dyDescent="0.35">
      <c r="B9" t="s">
        <v>49</v>
      </c>
      <c r="K9" t="s">
        <v>54</v>
      </c>
      <c r="L9" t="s">
        <v>55</v>
      </c>
      <c r="N9" t="s">
        <v>58</v>
      </c>
      <c r="P9">
        <v>10</v>
      </c>
      <c r="AB9" s="16" t="s">
        <v>162</v>
      </c>
      <c r="AE9">
        <v>5</v>
      </c>
    </row>
    <row r="10" spans="2:50" x14ac:dyDescent="0.35">
      <c r="K10" t="s">
        <v>56</v>
      </c>
      <c r="M10" t="s">
        <v>57</v>
      </c>
      <c r="AI10" t="s">
        <v>189</v>
      </c>
      <c r="AK10" t="s">
        <v>173</v>
      </c>
      <c r="AL10" t="s">
        <v>176</v>
      </c>
      <c r="AO10" t="s">
        <v>183</v>
      </c>
      <c r="AP10" t="s">
        <v>182</v>
      </c>
    </row>
    <row r="11" spans="2:50" x14ac:dyDescent="0.35">
      <c r="B11" s="10" t="s">
        <v>53</v>
      </c>
      <c r="D11" t="s">
        <v>66</v>
      </c>
      <c r="F11" t="s">
        <v>67</v>
      </c>
      <c r="N11" t="s">
        <v>60</v>
      </c>
      <c r="P11">
        <v>5</v>
      </c>
      <c r="AB11" t="s">
        <v>163</v>
      </c>
      <c r="AE11" t="s">
        <v>168</v>
      </c>
      <c r="AH11" t="s">
        <v>169</v>
      </c>
      <c r="AI11" s="1">
        <v>0.8</v>
      </c>
      <c r="AJ11">
        <v>160</v>
      </c>
      <c r="AK11" t="s">
        <v>174</v>
      </c>
      <c r="AL11" t="s">
        <v>177</v>
      </c>
      <c r="AO11">
        <v>50</v>
      </c>
      <c r="AP11" s="1">
        <v>0.7</v>
      </c>
      <c r="AQ11">
        <v>35</v>
      </c>
      <c r="AR11" t="s">
        <v>185</v>
      </c>
    </row>
    <row r="12" spans="2:50" x14ac:dyDescent="0.35">
      <c r="D12">
        <v>7</v>
      </c>
      <c r="F12">
        <v>5</v>
      </c>
      <c r="K12" t="s">
        <v>61</v>
      </c>
      <c r="N12" t="s">
        <v>59</v>
      </c>
      <c r="P12">
        <f>P9*P11</f>
        <v>50</v>
      </c>
      <c r="AE12">
        <v>300</v>
      </c>
      <c r="AH12" t="s">
        <v>170</v>
      </c>
      <c r="AI12" s="1">
        <v>0.8</v>
      </c>
      <c r="AJ12">
        <v>160</v>
      </c>
      <c r="AK12" t="s">
        <v>174</v>
      </c>
      <c r="AL12" t="s">
        <v>177</v>
      </c>
      <c r="AO12">
        <v>50</v>
      </c>
      <c r="AP12" s="1">
        <v>0.7</v>
      </c>
      <c r="AQ12">
        <v>35</v>
      </c>
      <c r="AR12" t="s">
        <v>185</v>
      </c>
      <c r="AS12" s="8" t="s">
        <v>187</v>
      </c>
      <c r="AT12" s="8"/>
      <c r="AU12" s="8"/>
      <c r="AV12" s="8"/>
      <c r="AW12" s="8"/>
      <c r="AX12" s="8"/>
    </row>
    <row r="13" spans="2:50" x14ac:dyDescent="0.35">
      <c r="B13" t="s">
        <v>68</v>
      </c>
      <c r="D13" s="9" t="s">
        <v>69</v>
      </c>
      <c r="E13" s="9"/>
      <c r="F13" s="9"/>
      <c r="K13">
        <v>200</v>
      </c>
      <c r="AA13" t="s">
        <v>164</v>
      </c>
      <c r="AH13" t="s">
        <v>171</v>
      </c>
      <c r="AI13" s="1">
        <v>0.9</v>
      </c>
      <c r="AJ13">
        <v>180</v>
      </c>
      <c r="AK13" t="s">
        <v>175</v>
      </c>
      <c r="AL13" t="s">
        <v>178</v>
      </c>
      <c r="AO13">
        <v>60</v>
      </c>
      <c r="AP13" s="1">
        <v>0.8</v>
      </c>
      <c r="AQ13">
        <v>50</v>
      </c>
      <c r="AR13" t="s">
        <v>186</v>
      </c>
      <c r="AS13" s="17" t="s">
        <v>188</v>
      </c>
    </row>
    <row r="14" spans="2:50" x14ac:dyDescent="0.35">
      <c r="B14">
        <v>2500</v>
      </c>
      <c r="E14" s="9">
        <f>B14*(D12+F12)</f>
        <v>30000</v>
      </c>
      <c r="O14" t="s">
        <v>63</v>
      </c>
      <c r="Q14">
        <f>K13*K16*P12</f>
        <v>9000</v>
      </c>
      <c r="AA14" t="s">
        <v>165</v>
      </c>
      <c r="AH14" t="s">
        <v>172</v>
      </c>
      <c r="AI14" s="1">
        <v>0.9</v>
      </c>
      <c r="AJ14">
        <v>180</v>
      </c>
      <c r="AK14" t="s">
        <v>175</v>
      </c>
      <c r="AL14" t="s">
        <v>178</v>
      </c>
      <c r="AO14">
        <v>60</v>
      </c>
      <c r="AP14" s="1">
        <v>0.8</v>
      </c>
      <c r="AQ14">
        <v>50</v>
      </c>
      <c r="AR14" t="s">
        <v>186</v>
      </c>
    </row>
    <row r="15" spans="2:50" x14ac:dyDescent="0.35">
      <c r="K15" t="s">
        <v>62</v>
      </c>
      <c r="O15" t="s">
        <v>64</v>
      </c>
      <c r="Q15">
        <v>300</v>
      </c>
      <c r="AI15" s="8" t="s">
        <v>180</v>
      </c>
      <c r="AJ15" s="8"/>
      <c r="AK15" s="8"/>
      <c r="AL15" s="8"/>
      <c r="AM15" s="17" t="s">
        <v>179</v>
      </c>
    </row>
    <row r="16" spans="2:50" x14ac:dyDescent="0.35">
      <c r="K16">
        <v>0.9</v>
      </c>
      <c r="AA16" t="s">
        <v>166</v>
      </c>
      <c r="AO16" t="s">
        <v>184</v>
      </c>
    </row>
    <row r="17" spans="2:42" x14ac:dyDescent="0.35">
      <c r="M17" s="9" t="s">
        <v>65</v>
      </c>
      <c r="N17" s="9"/>
      <c r="O17" s="9"/>
      <c r="P17" s="9">
        <f>Q14*Q15</f>
        <v>2700000</v>
      </c>
      <c r="AA17" t="s">
        <v>57</v>
      </c>
      <c r="AO17">
        <v>300</v>
      </c>
      <c r="AP17" s="1"/>
    </row>
    <row r="18" spans="2:42" x14ac:dyDescent="0.35">
      <c r="B18" s="10" t="s">
        <v>51</v>
      </c>
    </row>
    <row r="19" spans="2:42" x14ac:dyDescent="0.35">
      <c r="B19" t="s">
        <v>70</v>
      </c>
      <c r="C19">
        <v>20</v>
      </c>
      <c r="D19" s="1">
        <v>0.25</v>
      </c>
      <c r="E19">
        <f>Q14*D19</f>
        <v>2250</v>
      </c>
    </row>
    <row r="20" spans="2:42" x14ac:dyDescent="0.35">
      <c r="B20" t="s">
        <v>73</v>
      </c>
      <c r="AH20" t="s">
        <v>190</v>
      </c>
    </row>
    <row r="21" spans="2:42" x14ac:dyDescent="0.35">
      <c r="AE21" t="s">
        <v>192</v>
      </c>
      <c r="AH21" t="s">
        <v>191</v>
      </c>
      <c r="AJ21" t="s">
        <v>67</v>
      </c>
    </row>
    <row r="22" spans="2:42" x14ac:dyDescent="0.35">
      <c r="B22" t="s">
        <v>71</v>
      </c>
      <c r="C22">
        <v>40</v>
      </c>
      <c r="D22" s="1">
        <v>0.25</v>
      </c>
    </row>
    <row r="23" spans="2:42" x14ac:dyDescent="0.35">
      <c r="B23" t="s">
        <v>74</v>
      </c>
      <c r="L23" s="10" t="s">
        <v>52</v>
      </c>
      <c r="M23" s="11"/>
    </row>
    <row r="24" spans="2:42" x14ac:dyDescent="0.35">
      <c r="L24" t="s">
        <v>77</v>
      </c>
      <c r="N24" s="1">
        <v>0.4</v>
      </c>
    </row>
    <row r="25" spans="2:42" x14ac:dyDescent="0.35">
      <c r="B25" t="s">
        <v>75</v>
      </c>
      <c r="D25">
        <v>3</v>
      </c>
      <c r="L25" t="s">
        <v>78</v>
      </c>
      <c r="N25">
        <v>500</v>
      </c>
    </row>
    <row r="26" spans="2:42" x14ac:dyDescent="0.35">
      <c r="D26">
        <v>3000</v>
      </c>
      <c r="E26" t="s">
        <v>76</v>
      </c>
    </row>
    <row r="27" spans="2:42" x14ac:dyDescent="0.35">
      <c r="L27" s="9" t="s">
        <v>79</v>
      </c>
      <c r="M27" s="9"/>
      <c r="N27" s="9"/>
      <c r="O27" s="9">
        <f>D26*N24*N25</f>
        <v>600000</v>
      </c>
    </row>
    <row r="28" spans="2:42" x14ac:dyDescent="0.35">
      <c r="B28" s="9" t="s">
        <v>72</v>
      </c>
      <c r="C28" s="9"/>
      <c r="D28" s="9"/>
    </row>
    <row r="29" spans="2:42" x14ac:dyDescent="0.35">
      <c r="B29" s="9">
        <f>D26*C19*D19+(C22*D22*D26)</f>
        <v>45000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51B97-1A67-4806-AC0F-C26FFB62DC51}">
  <dimension ref="B3:P18"/>
  <sheetViews>
    <sheetView workbookViewId="0">
      <selection activeCell="O8" sqref="O8"/>
    </sheetView>
  </sheetViews>
  <sheetFormatPr defaultRowHeight="14.5" x14ac:dyDescent="0.35"/>
  <sheetData>
    <row r="3" spans="2:16" x14ac:dyDescent="0.35">
      <c r="B3" t="s">
        <v>12</v>
      </c>
      <c r="C3">
        <v>1300</v>
      </c>
      <c r="D3" t="s">
        <v>81</v>
      </c>
      <c r="G3" t="s">
        <v>86</v>
      </c>
    </row>
    <row r="4" spans="2:16" x14ac:dyDescent="0.35">
      <c r="G4" t="s">
        <v>87</v>
      </c>
      <c r="M4" t="s">
        <v>95</v>
      </c>
      <c r="O4">
        <v>700</v>
      </c>
      <c r="P4" t="s">
        <v>81</v>
      </c>
    </row>
    <row r="5" spans="2:16" x14ac:dyDescent="0.35">
      <c r="B5" t="s">
        <v>82</v>
      </c>
      <c r="D5">
        <v>30</v>
      </c>
      <c r="M5" t="s">
        <v>96</v>
      </c>
    </row>
    <row r="6" spans="2:16" x14ac:dyDescent="0.35">
      <c r="B6" t="s">
        <v>83</v>
      </c>
      <c r="D6">
        <v>40</v>
      </c>
    </row>
    <row r="7" spans="2:16" x14ac:dyDescent="0.35">
      <c r="I7" t="s">
        <v>88</v>
      </c>
      <c r="O7">
        <v>21000</v>
      </c>
      <c r="P7" t="s">
        <v>81</v>
      </c>
    </row>
    <row r="8" spans="2:16" x14ac:dyDescent="0.35">
      <c r="H8" t="s">
        <v>89</v>
      </c>
      <c r="J8" t="s">
        <v>90</v>
      </c>
    </row>
    <row r="9" spans="2:16" x14ac:dyDescent="0.35">
      <c r="B9" t="s">
        <v>84</v>
      </c>
      <c r="C9">
        <v>4</v>
      </c>
      <c r="D9">
        <v>3</v>
      </c>
      <c r="H9" s="1">
        <v>0.8</v>
      </c>
      <c r="J9" s="1">
        <v>0.2</v>
      </c>
    </row>
    <row r="10" spans="2:16" x14ac:dyDescent="0.35">
      <c r="B10" t="s">
        <v>85</v>
      </c>
      <c r="C10">
        <v>2</v>
      </c>
      <c r="D10">
        <v>2</v>
      </c>
      <c r="G10" t="s">
        <v>91</v>
      </c>
      <c r="H10">
        <v>1000</v>
      </c>
      <c r="I10" t="s">
        <v>81</v>
      </c>
    </row>
    <row r="12" spans="2:16" x14ac:dyDescent="0.35">
      <c r="H12" t="s">
        <v>21</v>
      </c>
      <c r="J12" t="s">
        <v>22</v>
      </c>
    </row>
    <row r="13" spans="2:16" x14ac:dyDescent="0.35">
      <c r="H13" s="1">
        <v>0.6</v>
      </c>
      <c r="J13" s="1">
        <v>0.4</v>
      </c>
    </row>
    <row r="14" spans="2:16" x14ac:dyDescent="0.35">
      <c r="H14">
        <v>600</v>
      </c>
      <c r="I14" t="s">
        <v>81</v>
      </c>
      <c r="J14">
        <v>400</v>
      </c>
      <c r="K14" t="s">
        <v>81</v>
      </c>
    </row>
    <row r="15" spans="2:16" x14ac:dyDescent="0.35">
      <c r="E15" t="s">
        <v>93</v>
      </c>
      <c r="H15">
        <v>200</v>
      </c>
      <c r="I15" t="s">
        <v>81</v>
      </c>
      <c r="J15">
        <v>100</v>
      </c>
      <c r="K15" t="s">
        <v>92</v>
      </c>
    </row>
    <row r="16" spans="2:16" x14ac:dyDescent="0.35">
      <c r="H16">
        <v>2</v>
      </c>
      <c r="J16">
        <v>3</v>
      </c>
    </row>
    <row r="18" spans="6:11" x14ac:dyDescent="0.35">
      <c r="F18" t="s">
        <v>94</v>
      </c>
      <c r="H18">
        <v>400</v>
      </c>
      <c r="I18" t="s">
        <v>81</v>
      </c>
      <c r="J18">
        <v>300</v>
      </c>
      <c r="K18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312E6-F2BF-41E8-933E-09B600D51B80}">
  <dimension ref="B2:I16"/>
  <sheetViews>
    <sheetView workbookViewId="0">
      <selection activeCell="D16" sqref="D16:E16"/>
    </sheetView>
  </sheetViews>
  <sheetFormatPr defaultRowHeight="14.5" x14ac:dyDescent="0.35"/>
  <sheetData>
    <row r="2" spans="2:9" x14ac:dyDescent="0.35">
      <c r="E2" t="s">
        <v>101</v>
      </c>
    </row>
    <row r="5" spans="2:9" x14ac:dyDescent="0.35">
      <c r="D5" t="s">
        <v>97</v>
      </c>
      <c r="F5" t="s">
        <v>98</v>
      </c>
      <c r="H5" t="s">
        <v>99</v>
      </c>
    </row>
    <row r="7" spans="2:9" x14ac:dyDescent="0.35">
      <c r="B7" t="s">
        <v>100</v>
      </c>
      <c r="D7">
        <v>250</v>
      </c>
      <c r="F7">
        <v>100</v>
      </c>
      <c r="H7">
        <v>70</v>
      </c>
    </row>
    <row r="8" spans="2:9" x14ac:dyDescent="0.35">
      <c r="B8" t="s">
        <v>103</v>
      </c>
      <c r="D8">
        <v>1.2</v>
      </c>
      <c r="E8" t="s">
        <v>81</v>
      </c>
      <c r="F8">
        <v>1</v>
      </c>
      <c r="G8" t="s">
        <v>81</v>
      </c>
      <c r="H8">
        <v>1</v>
      </c>
      <c r="I8" t="s">
        <v>81</v>
      </c>
    </row>
    <row r="9" spans="2:9" x14ac:dyDescent="0.35">
      <c r="D9" s="2">
        <v>300</v>
      </c>
      <c r="E9" s="2" t="s">
        <v>81</v>
      </c>
      <c r="F9" s="2">
        <v>100</v>
      </c>
      <c r="G9" s="2" t="s">
        <v>81</v>
      </c>
      <c r="H9" s="2">
        <v>70</v>
      </c>
      <c r="I9" s="2" t="s">
        <v>81</v>
      </c>
    </row>
    <row r="11" spans="2:9" x14ac:dyDescent="0.35">
      <c r="B11" t="s">
        <v>102</v>
      </c>
      <c r="D11">
        <v>250</v>
      </c>
      <c r="F11">
        <v>70</v>
      </c>
      <c r="H11">
        <v>60</v>
      </c>
    </row>
    <row r="12" spans="2:9" x14ac:dyDescent="0.35">
      <c r="B12" t="s">
        <v>103</v>
      </c>
      <c r="D12">
        <v>1.2</v>
      </c>
      <c r="E12" t="s">
        <v>81</v>
      </c>
      <c r="F12">
        <v>1</v>
      </c>
      <c r="G12" t="s">
        <v>81</v>
      </c>
      <c r="H12">
        <v>1</v>
      </c>
      <c r="I12" t="s">
        <v>81</v>
      </c>
    </row>
    <row r="13" spans="2:9" x14ac:dyDescent="0.35">
      <c r="D13" s="2">
        <v>300</v>
      </c>
      <c r="E13" s="2" t="s">
        <v>81</v>
      </c>
      <c r="F13" s="2">
        <v>70</v>
      </c>
      <c r="G13" s="2" t="s">
        <v>81</v>
      </c>
      <c r="H13" s="2">
        <v>60</v>
      </c>
      <c r="I13" s="2" t="s">
        <v>81</v>
      </c>
    </row>
    <row r="16" spans="2:9" x14ac:dyDescent="0.35">
      <c r="D16" s="8">
        <v>900</v>
      </c>
      <c r="E16" s="8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# of iPhones sold</vt:lpstr>
      <vt:lpstr>Revenue from TVs sold</vt:lpstr>
      <vt:lpstr>PVR Revenue</vt:lpstr>
      <vt:lpstr>Monthly Soaps Spend in India</vt:lpstr>
      <vt:lpstr>Yearly Income of SCMHRD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22020343043 Amey Lokhande</dc:creator>
  <cp:lastModifiedBy>Amey Lokhande</cp:lastModifiedBy>
  <dcterms:created xsi:type="dcterms:W3CDTF">2023-10-03T12:59:48Z</dcterms:created>
  <dcterms:modified xsi:type="dcterms:W3CDTF">2023-11-08T04:46:20Z</dcterms:modified>
</cp:coreProperties>
</file>
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F:\SCMHRD\Final Placements\Interview Prep\Guesstimates\"/>
    </mc:Choice>
  </mc:AlternateContent>
  <xr:revisionPtr revIDLastSave="0" documentId="13_ncr:1_{091654CF-2B27-494C-A849-12E3100B4728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# of flights operating from Mum" sheetId="1" r:id="rId1"/>
    <sheet name="Market Size of washing machines" sheetId="2" r:id="rId2"/>
    <sheet name="# of cash counters in Dmart" sheetId="3" r:id="rId3"/>
    <sheet name="# of youtube videos watched" sheetId="4" r:id="rId4"/>
    <sheet name="# of restaurants" sheetId="5" r:id="rId5"/>
    <sheet name="# of shampoo bottles sold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1" l="1"/>
  <c r="G40" i="1"/>
  <c r="N5" i="1"/>
  <c r="L5" i="1"/>
</calcChain>
</file>

<file path=xl/sharedStrings.xml><?xml version="1.0" encoding="utf-8"?>
<sst xmlns="http://schemas.openxmlformats.org/spreadsheetml/2006/main" count="282" uniqueCount="206">
  <si>
    <t>Goal</t>
  </si>
  <si>
    <t>Number of flights operating from Mumbai Airport in a day</t>
  </si>
  <si>
    <t>Domestic Terminal</t>
  </si>
  <si>
    <t>International Terminal</t>
  </si>
  <si>
    <t>Hangars in each terminal</t>
  </si>
  <si>
    <t>Avg TAT for domestic</t>
  </si>
  <si>
    <t>hrs</t>
  </si>
  <si>
    <t>Avg TAT for international</t>
  </si>
  <si>
    <t>Efficiency</t>
  </si>
  <si>
    <t>12-21 hrs</t>
  </si>
  <si>
    <t>21-00 hrs</t>
  </si>
  <si>
    <t>00-06 hrs</t>
  </si>
  <si>
    <t>06-12 hrs</t>
  </si>
  <si>
    <t>Avg Efficiency</t>
  </si>
  <si>
    <t>Domestic</t>
  </si>
  <si>
    <t>International</t>
  </si>
  <si>
    <t># of domestic terminals</t>
  </si>
  <si>
    <t># of international terminals</t>
  </si>
  <si>
    <t>TAT (hrs)</t>
  </si>
  <si>
    <t>12-18 hrs</t>
  </si>
  <si>
    <t>18-22 hrs</t>
  </si>
  <si>
    <t>22-00 hrs</t>
  </si>
  <si>
    <t>Avg</t>
  </si>
  <si>
    <t>Flights in 24 hrs from one terminal</t>
  </si>
  <si>
    <t>~1000</t>
  </si>
  <si>
    <t>flights</t>
  </si>
  <si>
    <t>Population</t>
  </si>
  <si>
    <t>cr</t>
  </si>
  <si>
    <t>Urban</t>
  </si>
  <si>
    <t>Rural</t>
  </si>
  <si>
    <t xml:space="preserve">Estimate the number of washing machines in India </t>
  </si>
  <si>
    <t>Avg family size</t>
  </si>
  <si>
    <t># of families</t>
  </si>
  <si>
    <t>High</t>
  </si>
  <si>
    <t>Medium</t>
  </si>
  <si>
    <t>Income</t>
  </si>
  <si>
    <t>Low</t>
  </si>
  <si>
    <t>City</t>
  </si>
  <si>
    <t>Bangalore</t>
  </si>
  <si>
    <t>Type</t>
  </si>
  <si>
    <t>Cash/Cashless</t>
  </si>
  <si>
    <t>Size</t>
  </si>
  <si>
    <t>Avg size and size of all dmart stores is the same</t>
  </si>
  <si>
    <t>Number of Dmarts</t>
  </si>
  <si>
    <t>Estimate the number of cash counters in Dmart in Bangalore</t>
  </si>
  <si>
    <t>Approach</t>
  </si>
  <si>
    <t>One cash counter should be such that it should be able to handle the workload during the peak hours</t>
  </si>
  <si>
    <t>Design should be the such that the Dmart store should function efficiently during peak hours</t>
  </si>
  <si>
    <t>bangalore population</t>
  </si>
  <si>
    <t>20 Mn</t>
  </si>
  <si>
    <t>Age distribution</t>
  </si>
  <si>
    <t>0-20</t>
  </si>
  <si>
    <t>20-60</t>
  </si>
  <si>
    <t>60-80</t>
  </si>
  <si>
    <t>Mn</t>
  </si>
  <si>
    <t xml:space="preserve">Avg Family Size </t>
  </si>
  <si>
    <t>Number of families</t>
  </si>
  <si>
    <t xml:space="preserve">On sundays </t>
  </si>
  <si>
    <t>Dmart market share</t>
  </si>
  <si>
    <t>Mn families go for shopping across all the Dmart stores in Bangalore</t>
  </si>
  <si>
    <t>TAT per customer</t>
  </si>
  <si>
    <t>min</t>
  </si>
  <si>
    <t>One customer can wait for a max of 10 mins</t>
  </si>
  <si>
    <t>One counter will be able to handle 3 people</t>
  </si>
  <si>
    <t>Mn individuals shopping on Sunday</t>
  </si>
  <si>
    <t>9-12pm</t>
  </si>
  <si>
    <t>12-5 pm</t>
  </si>
  <si>
    <t>5-7pm</t>
  </si>
  <si>
    <t>7-9 pm</t>
  </si>
  <si>
    <t xml:space="preserve">Avg time required for shopping </t>
  </si>
  <si>
    <t>7k</t>
  </si>
  <si>
    <t>per hour</t>
  </si>
  <si>
    <t>Mn families</t>
  </si>
  <si>
    <t>As there are 10 stores across bangalore, lets assume that the population is evenly distributed across all the stores. Therefore, 25k customers per Dmart store on Sunday</t>
  </si>
  <si>
    <t>25k people distributed over 9am - 9pm</t>
  </si>
  <si>
    <t>3.5k</t>
  </si>
  <si>
    <t xml:space="preserve">Assuming, 20% checkout </t>
  </si>
  <si>
    <t>700 people checking out in an hour</t>
  </si>
  <si>
    <t>~ 150 counters required per store</t>
  </si>
  <si>
    <t>Demography</t>
  </si>
  <si>
    <t>Any Genre?</t>
  </si>
  <si>
    <t>Any particular channel?</t>
  </si>
  <si>
    <t>Only youtube videos or shorts?</t>
  </si>
  <si>
    <t>Estimate the number of videos watched on Youtube globally in a single day</t>
  </si>
  <si>
    <t>Global Population</t>
  </si>
  <si>
    <t>7.5 Bn</t>
  </si>
  <si>
    <t>Youtube is banned in China</t>
  </si>
  <si>
    <t>China Population</t>
  </si>
  <si>
    <t>1.5 Bn</t>
  </si>
  <si>
    <t>Therefore, total population left</t>
  </si>
  <si>
    <t>6 Bn</t>
  </si>
  <si>
    <t>Smart Devices</t>
  </si>
  <si>
    <t>3.6 Bn</t>
  </si>
  <si>
    <t>Internet penetration</t>
  </si>
  <si>
    <t>2 Bn</t>
  </si>
  <si>
    <t>Frequent watchers</t>
  </si>
  <si>
    <t>Moderate watchers</t>
  </si>
  <si>
    <t>Rare watchers</t>
  </si>
  <si>
    <t>videos per day</t>
  </si>
  <si>
    <t>videos per day on avg</t>
  </si>
  <si>
    <t>Therefore, total number of videos watched per day on Youtube globally is 6 Bn</t>
  </si>
  <si>
    <t>Clarifying questions</t>
  </si>
  <si>
    <t>Any specific area?</t>
  </si>
  <si>
    <t>Restaurants and roadside kerbs?</t>
  </si>
  <si>
    <t>Cloud kitchen?</t>
  </si>
  <si>
    <t>Any specific size?</t>
  </si>
  <si>
    <t>Estimate the number of restaurants in Bangalore</t>
  </si>
  <si>
    <t>Answers</t>
  </si>
  <si>
    <t>Only restaurants</t>
  </si>
  <si>
    <t>No</t>
  </si>
  <si>
    <t>All sizes</t>
  </si>
  <si>
    <t xml:space="preserve">Number of restaurants = </t>
  </si>
  <si>
    <t>Area of bangalore * density of restaurants * area where restaurants are present</t>
  </si>
  <si>
    <t>Area</t>
  </si>
  <si>
    <t>Commericals</t>
  </si>
  <si>
    <t>Factory</t>
  </si>
  <si>
    <t>Lake</t>
  </si>
  <si>
    <t>Forests</t>
  </si>
  <si>
    <t>700 km sq</t>
  </si>
  <si>
    <t>300 km sq</t>
  </si>
  <si>
    <t>High density</t>
  </si>
  <si>
    <t># of restaurants</t>
  </si>
  <si>
    <t>Med density</t>
  </si>
  <si>
    <t>Low density</t>
  </si>
  <si>
    <t>restaurants in 1 km sq</t>
  </si>
  <si>
    <t xml:space="preserve">Total restaurants = </t>
  </si>
  <si>
    <t>Domestic gates</t>
  </si>
  <si>
    <t>International gates</t>
  </si>
  <si>
    <t>Avg TAT</t>
  </si>
  <si>
    <t>1 hr</t>
  </si>
  <si>
    <t>2 hr</t>
  </si>
  <si>
    <t>Avg efficiency</t>
  </si>
  <si>
    <t>Flights</t>
  </si>
  <si>
    <t>5.4 + 4.8 + 3.6 + 1.4</t>
  </si>
  <si>
    <t>15.2/24</t>
  </si>
  <si>
    <t>1 gate</t>
  </si>
  <si>
    <t>25 gates</t>
  </si>
  <si>
    <t># of flights</t>
  </si>
  <si>
    <t>40 gates</t>
  </si>
  <si>
    <t>24 hrs</t>
  </si>
  <si>
    <t>Total flights operating</t>
  </si>
  <si>
    <t>Total Population</t>
  </si>
  <si>
    <t>130 cr</t>
  </si>
  <si>
    <t>40 cr</t>
  </si>
  <si>
    <t>90 cr</t>
  </si>
  <si>
    <t>Med</t>
  </si>
  <si>
    <t>4 cr</t>
  </si>
  <si>
    <t>8 cr</t>
  </si>
  <si>
    <t>28 cr</t>
  </si>
  <si>
    <t>9 cr</t>
  </si>
  <si>
    <t>72 cr</t>
  </si>
  <si>
    <t>1.1 cr</t>
  </si>
  <si>
    <t>2.66 cr</t>
  </si>
  <si>
    <t>9.3 cr</t>
  </si>
  <si>
    <t># of households</t>
  </si>
  <si>
    <t>1.8 cr</t>
  </si>
  <si>
    <t>14.4 cr</t>
  </si>
  <si>
    <t>% of washing machines</t>
  </si>
  <si>
    <t>0.88 cr</t>
  </si>
  <si>
    <t>1.82 cr</t>
  </si>
  <si>
    <t>2.7 cr</t>
  </si>
  <si>
    <t>1.26 cr</t>
  </si>
  <si>
    <t>0.9 cr</t>
  </si>
  <si>
    <t>2.88 cr</t>
  </si>
  <si>
    <t>5.3 cr</t>
  </si>
  <si>
    <t>10 cr</t>
  </si>
  <si>
    <t>Also, assuming that one family goes to Dmart once in a month</t>
  </si>
  <si>
    <t>World population</t>
  </si>
  <si>
    <t>Intense users</t>
  </si>
  <si>
    <t>Avid users</t>
  </si>
  <si>
    <t>Frequent users</t>
  </si>
  <si>
    <t>avg</t>
  </si>
  <si>
    <t>3 videos per day</t>
  </si>
  <si>
    <t>6 Bn videos watched per day</t>
  </si>
  <si>
    <t>Restaurants or road-side kerbs?</t>
  </si>
  <si>
    <t>Restaurants only</t>
  </si>
  <si>
    <t>All bangalore</t>
  </si>
  <si>
    <t>Any particular size?</t>
  </si>
  <si>
    <t>Consider all</t>
  </si>
  <si>
    <t>Bangalore area?</t>
  </si>
  <si>
    <t>Commercial</t>
  </si>
  <si>
    <t>400 km sq</t>
  </si>
  <si>
    <t>Number of restaurants =</t>
  </si>
  <si>
    <t>Density * area</t>
  </si>
  <si>
    <t>Per sq km</t>
  </si>
  <si>
    <t>20 restaurants on an avg per sq km</t>
  </si>
  <si>
    <t>Total restaurants</t>
  </si>
  <si>
    <t>Any particular region or city?</t>
  </si>
  <si>
    <t>Any particular age group?</t>
  </si>
  <si>
    <t>Any particular brand?</t>
  </si>
  <si>
    <t>Any timeframe?</t>
  </si>
  <si>
    <t>Yearly</t>
  </si>
  <si>
    <t>B2C model only</t>
  </si>
  <si>
    <t>Sold to end consumers or hotels?</t>
  </si>
  <si>
    <t>Estimate the number of medium sized shampoo bottles sold in a year directly to the customers in India</t>
  </si>
  <si>
    <t>Avg household size</t>
  </si>
  <si>
    <t>One medium size shampoo bottle lasts for</t>
  </si>
  <si>
    <t>2 months</t>
  </si>
  <si>
    <t xml:space="preserve">One household uses </t>
  </si>
  <si>
    <t>2 different shampoo brands</t>
  </si>
  <si>
    <t>One family buys 12 shampoo bottles in a year</t>
  </si>
  <si>
    <t>Total number of shampoo bottles sold</t>
  </si>
  <si>
    <t>Shampoo usage</t>
  </si>
  <si>
    <t>One family buys 2 different shampoo bottles in 2 months</t>
  </si>
  <si>
    <t>84 cr</t>
  </si>
  <si>
    <t>7 *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</si>
</sst>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8B8A57-9BEA-43E1-AC3F-3D2DD2E6C0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E41"/>
  <sheetViews>
    <sheetView topLeftCell="A23" zoomScale="82" workbookViewId="0">
      <selection activeCell="Z13" sqref="Z13"/>
    </sheetView>
  </sheetViews>
  <sheetFormatPr defaultRowHeight="15" x14ac:dyDescent="0.25"/>
  <sheetData>
    <row r="1" spans="3:31" x14ac:dyDescent="0.25">
      <c r="Y1" t="s">
        <v>132</v>
      </c>
    </row>
    <row r="2" spans="3:31" x14ac:dyDescent="0.25">
      <c r="D2" t="s">
        <v>0</v>
      </c>
      <c r="E2" t="s">
        <v>1</v>
      </c>
      <c r="S2" t="s">
        <v>126</v>
      </c>
      <c r="U2" t="s">
        <v>128</v>
      </c>
      <c r="X2" t="s">
        <v>8</v>
      </c>
      <c r="Z2" t="s">
        <v>14</v>
      </c>
      <c r="AA2" t="s">
        <v>137</v>
      </c>
      <c r="AC2" t="s">
        <v>15</v>
      </c>
    </row>
    <row r="3" spans="3:31" x14ac:dyDescent="0.25">
      <c r="S3">
        <v>25</v>
      </c>
      <c r="U3" t="s">
        <v>129</v>
      </c>
      <c r="W3" s="1" t="s">
        <v>12</v>
      </c>
      <c r="X3" s="2">
        <v>0.9</v>
      </c>
      <c r="Z3" t="s">
        <v>135</v>
      </c>
      <c r="AA3">
        <v>19</v>
      </c>
      <c r="AB3" t="s">
        <v>129</v>
      </c>
      <c r="AC3" t="s">
        <v>135</v>
      </c>
      <c r="AD3">
        <v>10</v>
      </c>
      <c r="AE3" t="s">
        <v>129</v>
      </c>
    </row>
    <row r="4" spans="3:31" x14ac:dyDescent="0.25">
      <c r="C4" t="s">
        <v>2</v>
      </c>
      <c r="F4" t="s">
        <v>5</v>
      </c>
      <c r="L4" t="s">
        <v>14</v>
      </c>
      <c r="N4" t="s">
        <v>15</v>
      </c>
      <c r="W4" t="s">
        <v>19</v>
      </c>
      <c r="X4" s="2">
        <v>0.8</v>
      </c>
      <c r="Z4" t="s">
        <v>136</v>
      </c>
      <c r="AA4" s="3">
        <v>475</v>
      </c>
      <c r="AB4" t="s">
        <v>139</v>
      </c>
      <c r="AC4" t="s">
        <v>138</v>
      </c>
      <c r="AD4" s="3">
        <v>400</v>
      </c>
      <c r="AE4" t="s">
        <v>139</v>
      </c>
    </row>
    <row r="5" spans="3:31" x14ac:dyDescent="0.25">
      <c r="C5">
        <v>25</v>
      </c>
      <c r="F5">
        <v>1</v>
      </c>
      <c r="G5" t="s">
        <v>6</v>
      </c>
      <c r="L5">
        <f>2*25*24*0.7</f>
        <v>840</v>
      </c>
      <c r="N5">
        <f>40*12*2*0.7</f>
        <v>672</v>
      </c>
      <c r="S5" t="s">
        <v>127</v>
      </c>
      <c r="U5" t="s">
        <v>128</v>
      </c>
      <c r="W5" t="s">
        <v>20</v>
      </c>
      <c r="X5" s="2">
        <v>0.9</v>
      </c>
    </row>
    <row r="6" spans="3:31" x14ac:dyDescent="0.25">
      <c r="S6">
        <v>40</v>
      </c>
      <c r="U6" t="s">
        <v>130</v>
      </c>
      <c r="W6" t="s">
        <v>21</v>
      </c>
      <c r="X6" s="2">
        <v>0.7</v>
      </c>
    </row>
    <row r="7" spans="3:31" x14ac:dyDescent="0.25">
      <c r="C7" t="s">
        <v>3</v>
      </c>
      <c r="F7" t="s">
        <v>7</v>
      </c>
      <c r="M7" s="3">
        <v>1500</v>
      </c>
    </row>
    <row r="8" spans="3:31" x14ac:dyDescent="0.25">
      <c r="C8">
        <v>40</v>
      </c>
      <c r="F8">
        <v>2</v>
      </c>
      <c r="G8" t="s">
        <v>6</v>
      </c>
      <c r="W8" t="s">
        <v>131</v>
      </c>
      <c r="AA8" s="3" t="s">
        <v>140</v>
      </c>
      <c r="AB8" s="3"/>
    </row>
    <row r="9" spans="3:31" x14ac:dyDescent="0.25">
      <c r="W9" t="s">
        <v>133</v>
      </c>
      <c r="AA9">
        <v>875</v>
      </c>
    </row>
    <row r="10" spans="3:31" x14ac:dyDescent="0.25">
      <c r="C10" t="s">
        <v>4</v>
      </c>
      <c r="W10" t="s">
        <v>134</v>
      </c>
    </row>
    <row r="11" spans="3:31" x14ac:dyDescent="0.25">
      <c r="C11">
        <v>2</v>
      </c>
      <c r="V11" t="s">
        <v>131</v>
      </c>
      <c r="X11" s="2">
        <v>0.8</v>
      </c>
    </row>
    <row r="14" spans="3:31" x14ac:dyDescent="0.25">
      <c r="C14" t="s">
        <v>8</v>
      </c>
    </row>
    <row r="15" spans="3:31" x14ac:dyDescent="0.25">
      <c r="C15" t="s">
        <v>11</v>
      </c>
      <c r="D15" s="2">
        <v>0.6</v>
      </c>
    </row>
    <row r="16" spans="3:31" x14ac:dyDescent="0.25">
      <c r="C16" s="1" t="s">
        <v>12</v>
      </c>
      <c r="D16" s="2">
        <v>1</v>
      </c>
    </row>
    <row r="17" spans="3:14" x14ac:dyDescent="0.25">
      <c r="C17" t="s">
        <v>9</v>
      </c>
      <c r="D17" s="2">
        <v>0.9</v>
      </c>
    </row>
    <row r="18" spans="3:14" x14ac:dyDescent="0.25">
      <c r="C18" t="s">
        <v>10</v>
      </c>
      <c r="D18" s="2">
        <v>0.6</v>
      </c>
    </row>
    <row r="20" spans="3:14" x14ac:dyDescent="0.25">
      <c r="C20" t="s">
        <v>13</v>
      </c>
      <c r="D20">
        <v>0.7</v>
      </c>
    </row>
    <row r="26" spans="3:14" x14ac:dyDescent="0.25">
      <c r="D26" t="s">
        <v>18</v>
      </c>
      <c r="F26" t="s">
        <v>16</v>
      </c>
      <c r="I26" t="s">
        <v>23</v>
      </c>
    </row>
    <row r="27" spans="3:14" x14ac:dyDescent="0.25">
      <c r="D27">
        <v>1</v>
      </c>
      <c r="F27">
        <v>25</v>
      </c>
      <c r="I27">
        <v>24</v>
      </c>
      <c r="K27">
        <f>I27*F27</f>
        <v>600</v>
      </c>
    </row>
    <row r="29" spans="3:14" x14ac:dyDescent="0.25">
      <c r="F29" t="s">
        <v>17</v>
      </c>
      <c r="M29">
        <v>1240</v>
      </c>
    </row>
    <row r="30" spans="3:14" x14ac:dyDescent="0.25">
      <c r="D30">
        <v>1.5</v>
      </c>
      <c r="F30">
        <v>40</v>
      </c>
      <c r="I30">
        <v>16</v>
      </c>
      <c r="K30">
        <v>640</v>
      </c>
    </row>
    <row r="31" spans="3:14" x14ac:dyDescent="0.25">
      <c r="M31" s="3" t="s">
        <v>24</v>
      </c>
      <c r="N31" s="3" t="s">
        <v>25</v>
      </c>
    </row>
    <row r="33" spans="6:8" x14ac:dyDescent="0.25">
      <c r="G33" t="s">
        <v>8</v>
      </c>
    </row>
    <row r="34" spans="6:8" x14ac:dyDescent="0.25">
      <c r="F34" t="s">
        <v>11</v>
      </c>
      <c r="G34" s="2">
        <v>0.6</v>
      </c>
      <c r="H34">
        <v>6</v>
      </c>
    </row>
    <row r="35" spans="6:8" x14ac:dyDescent="0.25">
      <c r="F35" t="s">
        <v>12</v>
      </c>
      <c r="G35" s="2">
        <v>1</v>
      </c>
      <c r="H35">
        <v>6</v>
      </c>
    </row>
    <row r="36" spans="6:8" x14ac:dyDescent="0.25">
      <c r="F36" t="s">
        <v>19</v>
      </c>
      <c r="G36" s="2">
        <v>0.7</v>
      </c>
      <c r="H36">
        <v>6</v>
      </c>
    </row>
    <row r="37" spans="6:8" x14ac:dyDescent="0.25">
      <c r="F37" t="s">
        <v>20</v>
      </c>
      <c r="G37" s="2">
        <v>1</v>
      </c>
      <c r="H37">
        <v>4</v>
      </c>
    </row>
    <row r="38" spans="6:8" x14ac:dyDescent="0.25">
      <c r="F38" t="s">
        <v>21</v>
      </c>
      <c r="G38" s="2">
        <v>0.6</v>
      </c>
      <c r="H38">
        <v>2</v>
      </c>
    </row>
    <row r="40" spans="6:8" x14ac:dyDescent="0.25">
      <c r="G40">
        <f>3.6+0.06+4.2+0.04+1.2</f>
        <v>9.1</v>
      </c>
    </row>
    <row r="41" spans="6:8" x14ac:dyDescent="0.25">
      <c r="F41" t="s">
        <v>22</v>
      </c>
      <c r="G41" s="2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449C-AFC8-424F-B0FB-80A3B3B86DBC}">
  <dimension ref="C1:Q26"/>
  <sheetViews>
    <sheetView topLeftCell="B11" zoomScale="115" workbookViewId="0">
      <selection activeCell="L23" sqref="L23"/>
    </sheetView>
  </sheetViews>
  <sheetFormatPr defaultRowHeight="15" x14ac:dyDescent="0.25"/>
  <sheetData>
    <row r="1" spans="4:16" x14ac:dyDescent="0.25">
      <c r="F1" t="s">
        <v>0</v>
      </c>
      <c r="G1" t="s">
        <v>30</v>
      </c>
    </row>
    <row r="3" spans="4:16" x14ac:dyDescent="0.25">
      <c r="E3" t="s">
        <v>26</v>
      </c>
      <c r="I3" t="s">
        <v>28</v>
      </c>
      <c r="M3" t="s">
        <v>29</v>
      </c>
    </row>
    <row r="4" spans="4:16" x14ac:dyDescent="0.25">
      <c r="E4">
        <v>130</v>
      </c>
      <c r="F4" t="s">
        <v>27</v>
      </c>
      <c r="I4" s="2">
        <v>0.4</v>
      </c>
      <c r="M4" s="2">
        <v>0.6</v>
      </c>
    </row>
    <row r="5" spans="4:16" x14ac:dyDescent="0.25">
      <c r="I5">
        <v>50</v>
      </c>
      <c r="J5" t="s">
        <v>27</v>
      </c>
      <c r="M5">
        <v>80</v>
      </c>
      <c r="N5" t="s">
        <v>27</v>
      </c>
    </row>
    <row r="6" spans="4:16" x14ac:dyDescent="0.25">
      <c r="D6" t="s">
        <v>31</v>
      </c>
    </row>
    <row r="7" spans="4:16" x14ac:dyDescent="0.25">
      <c r="D7" t="s">
        <v>28</v>
      </c>
      <c r="E7">
        <v>3</v>
      </c>
      <c r="H7" t="s">
        <v>32</v>
      </c>
      <c r="I7">
        <v>17</v>
      </c>
      <c r="J7" t="s">
        <v>27</v>
      </c>
      <c r="M7">
        <v>20</v>
      </c>
      <c r="N7" t="s">
        <v>27</v>
      </c>
    </row>
    <row r="8" spans="4:16" x14ac:dyDescent="0.25">
      <c r="D8" t="s">
        <v>29</v>
      </c>
      <c r="E8">
        <v>4</v>
      </c>
      <c r="H8" t="s">
        <v>33</v>
      </c>
      <c r="I8" s="2">
        <v>0.2</v>
      </c>
      <c r="J8">
        <v>3.4</v>
      </c>
      <c r="K8">
        <v>3</v>
      </c>
      <c r="M8" t="s">
        <v>33</v>
      </c>
      <c r="N8" s="2">
        <v>0.1</v>
      </c>
      <c r="O8">
        <v>2</v>
      </c>
      <c r="P8">
        <v>1.8</v>
      </c>
    </row>
    <row r="9" spans="4:16" x14ac:dyDescent="0.25">
      <c r="G9" t="s">
        <v>35</v>
      </c>
      <c r="H9" t="s">
        <v>34</v>
      </c>
      <c r="I9" s="2">
        <v>0.3</v>
      </c>
      <c r="J9">
        <v>5.0999999999999996</v>
      </c>
      <c r="K9">
        <v>3</v>
      </c>
      <c r="M9" t="s">
        <v>34</v>
      </c>
      <c r="N9" s="2">
        <v>0.2</v>
      </c>
      <c r="O9">
        <v>4</v>
      </c>
      <c r="P9">
        <v>2.4</v>
      </c>
    </row>
    <row r="10" spans="4:16" x14ac:dyDescent="0.25">
      <c r="H10" t="s">
        <v>36</v>
      </c>
      <c r="I10" s="2">
        <v>0.5</v>
      </c>
      <c r="J10">
        <v>8.5</v>
      </c>
      <c r="K10">
        <v>0</v>
      </c>
      <c r="M10" t="s">
        <v>36</v>
      </c>
      <c r="N10" s="2">
        <v>0.7</v>
      </c>
      <c r="O10">
        <v>14</v>
      </c>
      <c r="P10">
        <v>0</v>
      </c>
    </row>
    <row r="13" spans="4:16" x14ac:dyDescent="0.25">
      <c r="L13">
        <v>11</v>
      </c>
      <c r="M13" t="s">
        <v>27</v>
      </c>
    </row>
    <row r="16" spans="4:16" x14ac:dyDescent="0.25">
      <c r="H16" t="s">
        <v>28</v>
      </c>
      <c r="K16" t="s">
        <v>29</v>
      </c>
    </row>
    <row r="17" spans="3:17" x14ac:dyDescent="0.25">
      <c r="D17" t="s">
        <v>141</v>
      </c>
      <c r="H17" t="s">
        <v>143</v>
      </c>
      <c r="K17" t="s">
        <v>144</v>
      </c>
    </row>
    <row r="18" spans="3:17" x14ac:dyDescent="0.25">
      <c r="D18" t="s">
        <v>142</v>
      </c>
    </row>
    <row r="19" spans="3:17" x14ac:dyDescent="0.25">
      <c r="F19" t="s">
        <v>35</v>
      </c>
      <c r="I19" t="s">
        <v>154</v>
      </c>
      <c r="J19" t="s">
        <v>157</v>
      </c>
      <c r="O19" t="s">
        <v>154</v>
      </c>
    </row>
    <row r="20" spans="3:17" x14ac:dyDescent="0.25">
      <c r="F20" t="s">
        <v>33</v>
      </c>
      <c r="G20" s="2">
        <v>0.1</v>
      </c>
      <c r="H20" t="s">
        <v>146</v>
      </c>
      <c r="I20" t="s">
        <v>151</v>
      </c>
      <c r="J20" s="2">
        <v>0.8</v>
      </c>
      <c r="K20" t="s">
        <v>158</v>
      </c>
      <c r="M20" s="2">
        <v>0.1</v>
      </c>
      <c r="N20" t="s">
        <v>149</v>
      </c>
      <c r="O20" t="s">
        <v>155</v>
      </c>
      <c r="P20" s="2">
        <v>0.7</v>
      </c>
      <c r="Q20" t="s">
        <v>161</v>
      </c>
    </row>
    <row r="21" spans="3:17" x14ac:dyDescent="0.25">
      <c r="F21" t="s">
        <v>145</v>
      </c>
      <c r="G21" s="2">
        <v>0.2</v>
      </c>
      <c r="H21" t="s">
        <v>147</v>
      </c>
      <c r="I21" t="s">
        <v>152</v>
      </c>
      <c r="J21" s="2">
        <v>0.7</v>
      </c>
      <c r="K21" t="s">
        <v>159</v>
      </c>
      <c r="M21" s="2">
        <v>0.1</v>
      </c>
      <c r="N21" t="s">
        <v>149</v>
      </c>
      <c r="O21" t="s">
        <v>155</v>
      </c>
      <c r="P21" s="2">
        <v>0.5</v>
      </c>
      <c r="Q21" t="s">
        <v>162</v>
      </c>
    </row>
    <row r="22" spans="3:17" x14ac:dyDescent="0.25">
      <c r="F22" t="s">
        <v>36</v>
      </c>
      <c r="G22" s="2">
        <v>0.7</v>
      </c>
      <c r="H22" t="s">
        <v>148</v>
      </c>
      <c r="I22" t="s">
        <v>153</v>
      </c>
      <c r="J22" s="2">
        <v>0.3</v>
      </c>
      <c r="K22" t="s">
        <v>160</v>
      </c>
      <c r="M22" s="2">
        <v>0.8</v>
      </c>
      <c r="N22" t="s">
        <v>150</v>
      </c>
      <c r="O22" t="s">
        <v>156</v>
      </c>
      <c r="P22" s="2">
        <v>0.2</v>
      </c>
      <c r="Q22" t="s">
        <v>163</v>
      </c>
    </row>
    <row r="24" spans="3:17" x14ac:dyDescent="0.25">
      <c r="D24" t="s">
        <v>31</v>
      </c>
      <c r="K24" t="s">
        <v>164</v>
      </c>
      <c r="Q24">
        <v>4.9000000000000004</v>
      </c>
    </row>
    <row r="25" spans="3:17" x14ac:dyDescent="0.25">
      <c r="C25" t="s">
        <v>28</v>
      </c>
      <c r="D25">
        <v>3</v>
      </c>
      <c r="N25" t="s">
        <v>165</v>
      </c>
    </row>
    <row r="26" spans="3:17" x14ac:dyDescent="0.25">
      <c r="C26" t="s">
        <v>29</v>
      </c>
      <c r="D2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919C-DF95-4FBD-9B83-31A8351CFE79}">
  <dimension ref="A2:S31"/>
  <sheetViews>
    <sheetView topLeftCell="D5" zoomScale="110" workbookViewId="0">
      <selection activeCell="L15" sqref="L15"/>
    </sheetView>
  </sheetViews>
  <sheetFormatPr defaultRowHeight="15" x14ac:dyDescent="0.25"/>
  <sheetData>
    <row r="2" spans="1:13" x14ac:dyDescent="0.25">
      <c r="C2" t="s">
        <v>37</v>
      </c>
      <c r="D2" t="s">
        <v>38</v>
      </c>
      <c r="J2" t="s">
        <v>0</v>
      </c>
    </row>
    <row r="3" spans="1:13" x14ac:dyDescent="0.25">
      <c r="C3" t="s">
        <v>39</v>
      </c>
      <c r="D3" t="s">
        <v>40</v>
      </c>
      <c r="J3" t="s">
        <v>44</v>
      </c>
    </row>
    <row r="4" spans="1:13" x14ac:dyDescent="0.25">
      <c r="C4" t="s">
        <v>41</v>
      </c>
      <c r="D4" t="s">
        <v>42</v>
      </c>
    </row>
    <row r="5" spans="1:13" x14ac:dyDescent="0.25">
      <c r="C5" t="s">
        <v>43</v>
      </c>
      <c r="E5">
        <v>10</v>
      </c>
      <c r="J5" t="s">
        <v>45</v>
      </c>
    </row>
    <row r="6" spans="1:13" x14ac:dyDescent="0.25">
      <c r="J6" t="s">
        <v>46</v>
      </c>
    </row>
    <row r="7" spans="1:13" x14ac:dyDescent="0.25">
      <c r="A7" t="s">
        <v>60</v>
      </c>
      <c r="J7" t="s">
        <v>47</v>
      </c>
    </row>
    <row r="8" spans="1:13" x14ac:dyDescent="0.25">
      <c r="A8">
        <v>5</v>
      </c>
      <c r="B8" t="s">
        <v>61</v>
      </c>
      <c r="C8" t="s">
        <v>62</v>
      </c>
    </row>
    <row r="9" spans="1:13" x14ac:dyDescent="0.25">
      <c r="C9" t="s">
        <v>63</v>
      </c>
    </row>
    <row r="10" spans="1:13" x14ac:dyDescent="0.25">
      <c r="J10" t="s">
        <v>57</v>
      </c>
    </row>
    <row r="11" spans="1:13" x14ac:dyDescent="0.25">
      <c r="E11" t="s">
        <v>48</v>
      </c>
      <c r="J11" t="s">
        <v>58</v>
      </c>
      <c r="L11" s="2">
        <v>0.2</v>
      </c>
    </row>
    <row r="12" spans="1:13" x14ac:dyDescent="0.25">
      <c r="E12" t="s">
        <v>49</v>
      </c>
      <c r="J12" t="s">
        <v>56</v>
      </c>
      <c r="L12">
        <v>0.5</v>
      </c>
      <c r="M12" t="s">
        <v>59</v>
      </c>
    </row>
    <row r="13" spans="1:13" x14ac:dyDescent="0.25">
      <c r="C13" t="s">
        <v>50</v>
      </c>
      <c r="L13">
        <v>0.5</v>
      </c>
      <c r="M13" t="s">
        <v>64</v>
      </c>
    </row>
    <row r="14" spans="1:13" x14ac:dyDescent="0.25">
      <c r="C14" t="s">
        <v>51</v>
      </c>
      <c r="D14">
        <v>5</v>
      </c>
      <c r="E14" t="s">
        <v>54</v>
      </c>
      <c r="L14" t="s">
        <v>166</v>
      </c>
    </row>
    <row r="15" spans="1:13" x14ac:dyDescent="0.25">
      <c r="C15" t="s">
        <v>52</v>
      </c>
      <c r="D15">
        <v>10</v>
      </c>
      <c r="E15" t="s">
        <v>54</v>
      </c>
      <c r="L15">
        <v>0.25</v>
      </c>
      <c r="M15" t="s">
        <v>72</v>
      </c>
    </row>
    <row r="16" spans="1:13" x14ac:dyDescent="0.25">
      <c r="C16" t="s">
        <v>53</v>
      </c>
      <c r="D16">
        <v>5</v>
      </c>
      <c r="E16" t="s">
        <v>54</v>
      </c>
    </row>
    <row r="18" spans="3:19" x14ac:dyDescent="0.25">
      <c r="C18" t="s">
        <v>55</v>
      </c>
      <c r="E18" t="s">
        <v>56</v>
      </c>
    </row>
    <row r="19" spans="3:19" x14ac:dyDescent="0.25">
      <c r="C19">
        <v>4</v>
      </c>
      <c r="E19">
        <v>2.5</v>
      </c>
      <c r="F19" t="s">
        <v>54</v>
      </c>
      <c r="L19" s="5" t="s">
        <v>73</v>
      </c>
      <c r="M19" s="5"/>
      <c r="N19" s="5"/>
      <c r="O19" s="5"/>
      <c r="P19" s="5"/>
      <c r="Q19" s="5"/>
      <c r="R19" s="5"/>
      <c r="S19" s="5"/>
    </row>
    <row r="20" spans="3:19" x14ac:dyDescent="0.25">
      <c r="L20" s="5"/>
      <c r="M20" s="5"/>
      <c r="N20" s="5"/>
      <c r="O20" s="5"/>
      <c r="P20" s="5"/>
      <c r="Q20" s="5"/>
      <c r="R20" s="5"/>
      <c r="S20" s="5"/>
    </row>
    <row r="21" spans="3:19" x14ac:dyDescent="0.25">
      <c r="C21" t="s">
        <v>69</v>
      </c>
      <c r="L21" s="5"/>
      <c r="M21" s="5"/>
      <c r="N21" s="5"/>
      <c r="O21" s="5"/>
      <c r="P21" s="5"/>
      <c r="Q21" s="5"/>
      <c r="R21" s="5"/>
      <c r="S21" s="5"/>
    </row>
    <row r="22" spans="3:19" x14ac:dyDescent="0.25">
      <c r="C22">
        <v>1</v>
      </c>
      <c r="D22" t="s">
        <v>6</v>
      </c>
      <c r="L22" s="5"/>
      <c r="M22" s="5"/>
      <c r="N22" s="5"/>
      <c r="O22" s="5"/>
      <c r="P22" s="5"/>
      <c r="Q22" s="5"/>
      <c r="R22" s="5"/>
      <c r="S22" s="5"/>
    </row>
    <row r="24" spans="3:19" x14ac:dyDescent="0.25">
      <c r="L24" t="s">
        <v>74</v>
      </c>
    </row>
    <row r="25" spans="3:19" x14ac:dyDescent="0.25">
      <c r="L25" s="1" t="s">
        <v>65</v>
      </c>
      <c r="M25" s="2">
        <v>0.2</v>
      </c>
    </row>
    <row r="26" spans="3:19" x14ac:dyDescent="0.25">
      <c r="L26" t="s">
        <v>66</v>
      </c>
      <c r="M26" s="2">
        <v>0.2</v>
      </c>
    </row>
    <row r="27" spans="3:19" x14ac:dyDescent="0.25">
      <c r="L27" s="1" t="s">
        <v>67</v>
      </c>
      <c r="M27" s="2">
        <v>0.3</v>
      </c>
      <c r="N27" t="s">
        <v>70</v>
      </c>
      <c r="O27" t="s">
        <v>75</v>
      </c>
      <c r="P27" t="s">
        <v>71</v>
      </c>
    </row>
    <row r="28" spans="3:19" x14ac:dyDescent="0.25">
      <c r="L28" t="s">
        <v>68</v>
      </c>
      <c r="M28" s="2">
        <v>0.3</v>
      </c>
    </row>
    <row r="29" spans="3:19" x14ac:dyDescent="0.25">
      <c r="O29" t="s">
        <v>76</v>
      </c>
    </row>
    <row r="30" spans="3:19" x14ac:dyDescent="0.25">
      <c r="O30" t="s">
        <v>77</v>
      </c>
    </row>
    <row r="31" spans="3:19" x14ac:dyDescent="0.25">
      <c r="O31" t="s">
        <v>78</v>
      </c>
    </row>
  </sheetData>
  <mergeCells count="1">
    <mergeCell ref="L19:S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4D13-2547-493B-A1DD-4DB28C7D7C2C}">
  <dimension ref="C2:S33"/>
  <sheetViews>
    <sheetView topLeftCell="B20" zoomScale="121" workbookViewId="0">
      <selection activeCell="J32" sqref="J32"/>
    </sheetView>
  </sheetViews>
  <sheetFormatPr defaultRowHeight="15" x14ac:dyDescent="0.25"/>
  <sheetData>
    <row r="2" spans="3:19" x14ac:dyDescent="0.25">
      <c r="G2" t="s">
        <v>0</v>
      </c>
    </row>
    <row r="3" spans="3:19" x14ac:dyDescent="0.25">
      <c r="C3" t="s">
        <v>79</v>
      </c>
      <c r="G3" t="s">
        <v>83</v>
      </c>
    </row>
    <row r="4" spans="3:19" x14ac:dyDescent="0.25">
      <c r="C4" t="s">
        <v>80</v>
      </c>
    </row>
    <row r="5" spans="3:19" x14ac:dyDescent="0.25">
      <c r="C5" t="s">
        <v>81</v>
      </c>
    </row>
    <row r="6" spans="3:19" x14ac:dyDescent="0.25">
      <c r="C6" t="s">
        <v>82</v>
      </c>
      <c r="H6" t="s">
        <v>84</v>
      </c>
    </row>
    <row r="7" spans="3:19" x14ac:dyDescent="0.25">
      <c r="H7" t="s">
        <v>85</v>
      </c>
    </row>
    <row r="9" spans="3:19" x14ac:dyDescent="0.25">
      <c r="H9" t="s">
        <v>86</v>
      </c>
      <c r="K9" t="s">
        <v>87</v>
      </c>
      <c r="M9" t="s">
        <v>88</v>
      </c>
    </row>
    <row r="10" spans="3:19" x14ac:dyDescent="0.25">
      <c r="H10" t="s">
        <v>89</v>
      </c>
      <c r="K10" t="s">
        <v>90</v>
      </c>
    </row>
    <row r="12" spans="3:19" x14ac:dyDescent="0.25">
      <c r="H12" t="s">
        <v>91</v>
      </c>
      <c r="J12" s="2">
        <v>0.6</v>
      </c>
      <c r="K12" t="s">
        <v>92</v>
      </c>
    </row>
    <row r="13" spans="3:19" ht="14.45" customHeight="1" x14ac:dyDescent="0.25">
      <c r="H13" t="s">
        <v>93</v>
      </c>
      <c r="J13" s="2">
        <v>0.6</v>
      </c>
      <c r="K13" t="s">
        <v>94</v>
      </c>
      <c r="N13" s="5" t="s">
        <v>100</v>
      </c>
      <c r="O13" s="5"/>
      <c r="P13" s="5"/>
      <c r="Q13" s="5"/>
      <c r="R13" s="5"/>
      <c r="S13" s="4"/>
    </row>
    <row r="14" spans="3:19" x14ac:dyDescent="0.25">
      <c r="N14" s="5"/>
      <c r="O14" s="5"/>
      <c r="P14" s="5"/>
      <c r="Q14" s="5"/>
      <c r="R14" s="5"/>
      <c r="S14" s="4"/>
    </row>
    <row r="15" spans="3:19" ht="18" customHeight="1" x14ac:dyDescent="0.25">
      <c r="E15" t="s">
        <v>98</v>
      </c>
      <c r="N15" s="4"/>
      <c r="O15" s="4"/>
      <c r="P15" s="4"/>
      <c r="Q15" s="4"/>
      <c r="R15" s="4"/>
      <c r="S15" s="4"/>
    </row>
    <row r="16" spans="3:19" x14ac:dyDescent="0.25">
      <c r="C16" t="s">
        <v>95</v>
      </c>
      <c r="E16">
        <v>4</v>
      </c>
    </row>
    <row r="17" spans="3:10" x14ac:dyDescent="0.25">
      <c r="C17" t="s">
        <v>96</v>
      </c>
      <c r="E17">
        <v>3</v>
      </c>
      <c r="G17">
        <v>3</v>
      </c>
      <c r="H17" t="s">
        <v>99</v>
      </c>
    </row>
    <row r="18" spans="3:10" x14ac:dyDescent="0.25">
      <c r="C18" t="s">
        <v>97</v>
      </c>
      <c r="E18">
        <v>2</v>
      </c>
    </row>
    <row r="21" spans="3:10" x14ac:dyDescent="0.25">
      <c r="F21" t="s">
        <v>167</v>
      </c>
    </row>
    <row r="22" spans="3:10" x14ac:dyDescent="0.25">
      <c r="F22" t="s">
        <v>85</v>
      </c>
    </row>
    <row r="24" spans="3:10" x14ac:dyDescent="0.25">
      <c r="F24" t="s">
        <v>87</v>
      </c>
      <c r="I24" t="s">
        <v>91</v>
      </c>
    </row>
    <row r="25" spans="3:10" x14ac:dyDescent="0.25">
      <c r="F25" t="s">
        <v>88</v>
      </c>
      <c r="I25" s="2">
        <v>0.6</v>
      </c>
      <c r="J25" t="s">
        <v>92</v>
      </c>
    </row>
    <row r="27" spans="3:10" x14ac:dyDescent="0.25">
      <c r="F27" t="s">
        <v>141</v>
      </c>
      <c r="I27" t="s">
        <v>93</v>
      </c>
    </row>
    <row r="28" spans="3:10" x14ac:dyDescent="0.25">
      <c r="F28" t="s">
        <v>90</v>
      </c>
      <c r="I28" s="2">
        <v>0.6</v>
      </c>
      <c r="J28" t="s">
        <v>94</v>
      </c>
    </row>
    <row r="31" spans="3:10" x14ac:dyDescent="0.25">
      <c r="C31" t="s">
        <v>168</v>
      </c>
      <c r="E31">
        <v>4</v>
      </c>
      <c r="J31" t="s">
        <v>173</v>
      </c>
    </row>
    <row r="32" spans="3:10" x14ac:dyDescent="0.25">
      <c r="C32" t="s">
        <v>170</v>
      </c>
      <c r="E32">
        <v>3</v>
      </c>
      <c r="G32" t="s">
        <v>171</v>
      </c>
    </row>
    <row r="33" spans="3:7" x14ac:dyDescent="0.25">
      <c r="C33" t="s">
        <v>169</v>
      </c>
      <c r="E33">
        <v>2</v>
      </c>
      <c r="G33" t="s">
        <v>172</v>
      </c>
    </row>
  </sheetData>
  <mergeCells count="1">
    <mergeCell ref="N13:R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B57D-F469-44C5-BA9A-9D41FCD8F7A5}">
  <dimension ref="E2:AD17"/>
  <sheetViews>
    <sheetView zoomScale="119" workbookViewId="0">
      <selection activeCell="AD17" sqref="AD17"/>
    </sheetView>
  </sheetViews>
  <sheetFormatPr defaultRowHeight="15" x14ac:dyDescent="0.25"/>
  <cols>
    <col min="27" max="27" width="13.42578125" customWidth="1"/>
  </cols>
  <sheetData>
    <row r="2" spans="5:30" x14ac:dyDescent="0.25">
      <c r="E2" t="s">
        <v>101</v>
      </c>
      <c r="I2" t="s">
        <v>107</v>
      </c>
      <c r="L2" t="s">
        <v>0</v>
      </c>
      <c r="X2" t="s">
        <v>174</v>
      </c>
      <c r="AB2" t="s">
        <v>175</v>
      </c>
    </row>
    <row r="3" spans="5:30" x14ac:dyDescent="0.25">
      <c r="E3" t="s">
        <v>103</v>
      </c>
      <c r="I3" t="s">
        <v>108</v>
      </c>
      <c r="L3" t="s">
        <v>106</v>
      </c>
      <c r="X3" t="s">
        <v>102</v>
      </c>
      <c r="AB3" t="s">
        <v>176</v>
      </c>
    </row>
    <row r="4" spans="5:30" x14ac:dyDescent="0.25">
      <c r="E4" t="s">
        <v>102</v>
      </c>
      <c r="I4" t="s">
        <v>109</v>
      </c>
      <c r="X4" t="s">
        <v>104</v>
      </c>
      <c r="AB4" t="s">
        <v>109</v>
      </c>
    </row>
    <row r="5" spans="5:30" x14ac:dyDescent="0.25">
      <c r="E5" t="s">
        <v>104</v>
      </c>
      <c r="I5" t="s">
        <v>109</v>
      </c>
      <c r="X5" t="s">
        <v>177</v>
      </c>
      <c r="AB5" t="s">
        <v>178</v>
      </c>
    </row>
    <row r="6" spans="5:30" x14ac:dyDescent="0.25">
      <c r="E6" t="s">
        <v>105</v>
      </c>
      <c r="I6" t="s">
        <v>110</v>
      </c>
    </row>
    <row r="8" spans="5:30" x14ac:dyDescent="0.25">
      <c r="X8" t="s">
        <v>179</v>
      </c>
    </row>
    <row r="9" spans="5:30" x14ac:dyDescent="0.25">
      <c r="F9" t="s">
        <v>45</v>
      </c>
      <c r="X9" t="s">
        <v>118</v>
      </c>
    </row>
    <row r="10" spans="5:30" x14ac:dyDescent="0.25">
      <c r="F10" t="s">
        <v>111</v>
      </c>
      <c r="I10" t="s">
        <v>112</v>
      </c>
      <c r="Z10" t="s">
        <v>182</v>
      </c>
      <c r="AB10" t="s">
        <v>183</v>
      </c>
    </row>
    <row r="11" spans="5:30" x14ac:dyDescent="0.25">
      <c r="X11" t="s">
        <v>180</v>
      </c>
    </row>
    <row r="12" spans="5:30" x14ac:dyDescent="0.25">
      <c r="L12" t="s">
        <v>121</v>
      </c>
      <c r="X12" s="2">
        <v>0.4</v>
      </c>
      <c r="AB12" t="s">
        <v>184</v>
      </c>
    </row>
    <row r="13" spans="5:30" x14ac:dyDescent="0.25">
      <c r="F13" t="s">
        <v>113</v>
      </c>
      <c r="H13" t="s">
        <v>114</v>
      </c>
      <c r="I13" s="2">
        <v>0.4</v>
      </c>
      <c r="J13" t="s">
        <v>119</v>
      </c>
      <c r="L13" t="s">
        <v>120</v>
      </c>
      <c r="M13" s="2"/>
      <c r="N13">
        <v>40</v>
      </c>
      <c r="AA13" t="s">
        <v>33</v>
      </c>
      <c r="AB13">
        <v>30</v>
      </c>
    </row>
    <row r="14" spans="5:30" x14ac:dyDescent="0.25">
      <c r="F14" t="s">
        <v>118</v>
      </c>
      <c r="H14" t="s">
        <v>115</v>
      </c>
      <c r="L14" t="s">
        <v>122</v>
      </c>
      <c r="M14" s="2"/>
      <c r="N14">
        <v>30</v>
      </c>
      <c r="P14" t="s">
        <v>22</v>
      </c>
      <c r="X14" t="s">
        <v>181</v>
      </c>
      <c r="AA14" t="s">
        <v>145</v>
      </c>
      <c r="AB14">
        <v>20</v>
      </c>
      <c r="AD14" t="s">
        <v>185</v>
      </c>
    </row>
    <row r="15" spans="5:30" x14ac:dyDescent="0.25">
      <c r="H15" t="s">
        <v>116</v>
      </c>
      <c r="L15" t="s">
        <v>123</v>
      </c>
      <c r="M15" s="2"/>
      <c r="N15">
        <v>20</v>
      </c>
      <c r="P15">
        <v>30</v>
      </c>
      <c r="Q15" t="s">
        <v>124</v>
      </c>
      <c r="AA15" t="s">
        <v>36</v>
      </c>
      <c r="AB15">
        <v>10</v>
      </c>
    </row>
    <row r="16" spans="5:30" x14ac:dyDescent="0.25">
      <c r="H16" t="s">
        <v>117</v>
      </c>
      <c r="AD16" t="s">
        <v>186</v>
      </c>
    </row>
    <row r="17" spans="12:30" x14ac:dyDescent="0.25">
      <c r="L17" t="s">
        <v>125</v>
      </c>
      <c r="N17">
        <v>9000</v>
      </c>
      <c r="AD17">
        <v>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CBEC-842E-499A-8D94-A16029E8368D}">
  <dimension ref="C3:R19"/>
  <sheetViews>
    <sheetView tabSelected="1" topLeftCell="A8" workbookViewId="0">
      <selection activeCell="I21" sqref="I21"/>
    </sheetView>
  </sheetViews>
  <sheetFormatPr defaultRowHeight="15" x14ac:dyDescent="0.25"/>
  <sheetData>
    <row r="3" spans="3:18" x14ac:dyDescent="0.25">
      <c r="D3" t="s">
        <v>177</v>
      </c>
      <c r="H3" t="s">
        <v>34</v>
      </c>
      <c r="K3" t="s">
        <v>0</v>
      </c>
    </row>
    <row r="4" spans="3:18" x14ac:dyDescent="0.25">
      <c r="D4" t="s">
        <v>187</v>
      </c>
      <c r="K4" s="6" t="s">
        <v>194</v>
      </c>
      <c r="L4" s="6"/>
      <c r="M4" s="6"/>
      <c r="N4" s="6"/>
      <c r="O4" s="6"/>
      <c r="P4" s="6"/>
      <c r="Q4" s="6"/>
      <c r="R4" s="6"/>
    </row>
    <row r="5" spans="3:18" x14ac:dyDescent="0.25">
      <c r="D5" t="s">
        <v>188</v>
      </c>
      <c r="K5" s="6"/>
      <c r="L5" s="6"/>
      <c r="M5" s="6"/>
      <c r="N5" s="6"/>
      <c r="O5" s="6"/>
      <c r="P5" s="6"/>
      <c r="Q5" s="6"/>
      <c r="R5" s="6"/>
    </row>
    <row r="6" spans="3:18" x14ac:dyDescent="0.25">
      <c r="D6" t="s">
        <v>189</v>
      </c>
    </row>
    <row r="7" spans="3:18" x14ac:dyDescent="0.25">
      <c r="D7" t="s">
        <v>190</v>
      </c>
      <c r="H7" t="s">
        <v>191</v>
      </c>
    </row>
    <row r="8" spans="3:18" x14ac:dyDescent="0.25">
      <c r="D8" t="s">
        <v>193</v>
      </c>
      <c r="H8" t="s">
        <v>192</v>
      </c>
      <c r="K8" t="s">
        <v>141</v>
      </c>
    </row>
    <row r="9" spans="3:18" x14ac:dyDescent="0.25">
      <c r="K9" t="s">
        <v>142</v>
      </c>
    </row>
    <row r="10" spans="3:18" x14ac:dyDescent="0.25">
      <c r="C10" t="s">
        <v>196</v>
      </c>
    </row>
    <row r="11" spans="3:18" x14ac:dyDescent="0.25">
      <c r="C11" t="s">
        <v>197</v>
      </c>
      <c r="K11" t="s">
        <v>28</v>
      </c>
      <c r="M11" t="s">
        <v>29</v>
      </c>
    </row>
    <row r="12" spans="3:18" x14ac:dyDescent="0.25">
      <c r="K12" s="2">
        <v>0.3</v>
      </c>
      <c r="M12" s="2">
        <v>0.7</v>
      </c>
    </row>
    <row r="13" spans="3:18" x14ac:dyDescent="0.25">
      <c r="C13" t="s">
        <v>198</v>
      </c>
      <c r="K13" t="s">
        <v>143</v>
      </c>
    </row>
    <row r="14" spans="3:18" x14ac:dyDescent="0.25">
      <c r="C14" t="s">
        <v>199</v>
      </c>
    </row>
    <row r="15" spans="3:18" x14ac:dyDescent="0.25">
      <c r="H15" t="s">
        <v>195</v>
      </c>
      <c r="K15" t="s">
        <v>56</v>
      </c>
      <c r="N15" t="s">
        <v>203</v>
      </c>
    </row>
    <row r="16" spans="3:18" x14ac:dyDescent="0.25">
      <c r="H16">
        <v>4</v>
      </c>
      <c r="K16" t="s">
        <v>165</v>
      </c>
      <c r="N16" t="s">
        <v>200</v>
      </c>
    </row>
    <row r="18" spans="11:18" x14ac:dyDescent="0.25">
      <c r="K18" t="s">
        <v>202</v>
      </c>
      <c r="N18" t="s">
        <v>201</v>
      </c>
      <c r="R18" t="s">
        <v>205</v>
      </c>
    </row>
    <row r="19" spans="11:18" x14ac:dyDescent="0.25">
      <c r="K19" s="2">
        <v>0.7</v>
      </c>
      <c r="R19" t="s">
        <v>204</v>
      </c>
    </row>
  </sheetData>
  <mergeCells count="1">
    <mergeCell ref="K4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# of flights operating from Mum</vt:lpstr>
      <vt:lpstr>Market Size of washing machines</vt:lpstr>
      <vt:lpstr># of cash counters in Dmart</vt:lpstr>
      <vt:lpstr># of youtube videos watched</vt:lpstr>
      <vt:lpstr># of restaurants</vt:lpstr>
      <vt:lpstr># of shampoo bottles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Lokhande</dc:creator>
  <cp:lastModifiedBy>Amey Lokhande</cp:lastModifiedBy>
  <dcterms:created xsi:type="dcterms:W3CDTF">2015-06-05T18:17:20Z</dcterms:created>
  <dcterms:modified xsi:type="dcterms:W3CDTF">2023-11-17T02:49:23Z</dcterms:modified>
</cp:coreProperties>
</file>